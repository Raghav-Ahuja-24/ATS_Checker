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2-Sep - 60" sheetId="1" r:id="rId5"/>
    <sheet state="visible" name="Shortlisted Candidates" sheetId="2" r:id="rId6"/>
  </sheets>
  <definedNames>
    <definedName hidden="1" localSheetId="0" name="_xlnm._FilterDatabase">'2-Sep - 60'!$A$1:$AK$61</definedName>
  </definedNames>
  <calcPr/>
</workbook>
</file>

<file path=xl/sharedStrings.xml><?xml version="1.0" encoding="utf-8"?>
<sst xmlns="http://schemas.openxmlformats.org/spreadsheetml/2006/main" count="1851" uniqueCount="652">
  <si>
    <t>Job Title</t>
  </si>
  <si>
    <t>Date of application</t>
  </si>
  <si>
    <t>Name</t>
  </si>
  <si>
    <t>Email ID</t>
  </si>
  <si>
    <t>Phone Number</t>
  </si>
  <si>
    <t>Current Location</t>
  </si>
  <si>
    <t>Preferred Locations</t>
  </si>
  <si>
    <t>Total Experience</t>
  </si>
  <si>
    <t>Curr. Company name</t>
  </si>
  <si>
    <t>Curr. Company Designation</t>
  </si>
  <si>
    <t>Annual Salary</t>
  </si>
  <si>
    <t>Notice period/ Availability to join</t>
  </si>
  <si>
    <t>Resume Headline</t>
  </si>
  <si>
    <t>Under Graduation degree</t>
  </si>
  <si>
    <t>UG University/institute Name</t>
  </si>
  <si>
    <t>PG specialization</t>
  </si>
  <si>
    <t>PG university/institute name</t>
  </si>
  <si>
    <t>Doctorate specialization</t>
  </si>
  <si>
    <t>Doctorate university/institute name</t>
  </si>
  <si>
    <t>Gender</t>
  </si>
  <si>
    <t>Home Town/City</t>
  </si>
  <si>
    <t>Date of Birth</t>
  </si>
  <si>
    <t>Latest Pipeline Stage</t>
  </si>
  <si>
    <t>Comment 1</t>
  </si>
  <si>
    <t>Comment 2</t>
  </si>
  <si>
    <t>Comment 3</t>
  </si>
  <si>
    <t>Comment 4</t>
  </si>
  <si>
    <t>Comment 5</t>
  </si>
  <si>
    <t>Ans(Key Skills)</t>
  </si>
  <si>
    <t>Ans(How many years of experience do you have in Trend Micro Cloud?)</t>
  </si>
  <si>
    <t>Ans(How many years of experience do you have in Trend Micro Vision One?)</t>
  </si>
  <si>
    <t>Ans(How many years of experience do you have in Trend Micro Apex One?)</t>
  </si>
  <si>
    <t>Ans(What is your expected CTC in Lacs per annum?)</t>
  </si>
  <si>
    <t>Ans(What is your notice period?)</t>
  </si>
  <si>
    <t>Ans(Are you currently residing in Mumbai or willing to relocate to Mumbai?)</t>
  </si>
  <si>
    <t>Ans(What is your current CTC in Lacs per annum?)</t>
  </si>
  <si>
    <t>Candidate profile</t>
  </si>
  <si>
    <t>TREND MICRO L2 Engineer</t>
  </si>
  <si>
    <t>Srinidhi Tadiparthi</t>
  </si>
  <si>
    <t>srinidhi.tadiparthi@gmail.com</t>
  </si>
  <si>
    <t>Hyderabad</t>
  </si>
  <si>
    <t>Hyderabad, Remote</t>
  </si>
  <si>
    <t>4 Year(s) 2 Month(s)</t>
  </si>
  <si>
    <t>Tata Consultancy Services Ltd.</t>
  </si>
  <si>
    <t>System Security Engineer</t>
  </si>
  <si>
    <t>Rs 5.23 Lakhs</t>
  </si>
  <si>
    <t>2 Months</t>
  </si>
  <si>
    <t>System Security Engineer with B.Sc in Computer Science currently living in Hyderabad</t>
  </si>
  <si>
    <t>B.Sc</t>
  </si>
  <si>
    <t>Acharya Nagarjuna University College of Science, Guntur</t>
  </si>
  <si>
    <t>NA</t>
  </si>
  <si>
    <t>Female</t>
  </si>
  <si>
    <t>Rejected</t>
  </si>
  <si>
    <t>Not Applicable - F</t>
  </si>
  <si>
    <t>Trend micro, endpoint security, vulnerability assessment</t>
  </si>
  <si>
    <t>I have experience in Trend micro deep security and vision one</t>
  </si>
  <si>
    <t>Yes</t>
  </si>
  <si>
    <r>
      <rPr>
        <rFont val="Arial"/>
        <color rgb="FF1155CC"/>
        <sz val="8.0"/>
        <u/>
      </rPr>
      <t>View profile</t>
    </r>
  </si>
  <si>
    <t>Saloni Santosh Patil</t>
  </si>
  <si>
    <t>salonipatil1398@gmail.com</t>
  </si>
  <si>
    <t>Mumbai, Maharashtra, India - Maharashtra</t>
  </si>
  <si>
    <t>Mumbai, Mumbai (All Areas), Pune, Remote</t>
  </si>
  <si>
    <t>2 Year(s) 1 Month(s)</t>
  </si>
  <si>
    <t>Tata Consultancy Services</t>
  </si>
  <si>
    <t>Security Analyst 1</t>
  </si>
  <si>
    <t>Rs 4.80 Lakhs</t>
  </si>
  <si>
    <t>Serving Notice Period</t>
  </si>
  <si>
    <t>Cyber Security Analyst L1 | 2+ Years | SOC | SIEM | Splunk | Microsoft Sentinel | Incident Response | Phishing Email Analysis | Proofpoint | Freshservice | Crowdstrike |</t>
  </si>
  <si>
    <t>B.C.A.</t>
  </si>
  <si>
    <t>Shivaji University, Kolhapur</t>
  </si>
  <si>
    <t>SOC, SIEM, Firewall, Splunk, Microsoft Sentinel, Proofpoint</t>
  </si>
  <si>
    <r>
      <rPr>
        <rFont val="Arial"/>
        <color rgb="FF1155CC"/>
        <sz val="8.0"/>
        <u/>
      </rPr>
      <t>View profile</t>
    </r>
  </si>
  <si>
    <t>Rathod Vamshi</t>
  </si>
  <si>
    <t>rathodvamshi28@gmail.com</t>
  </si>
  <si>
    <t>Kolkata, Mumbai, Gurugram, Delhi / NCR, Coimbatore, Navi Mumbai, Pune, Chennai, Hyderabad, Bengaluru</t>
  </si>
  <si>
    <t>3 Year(s) 6 Month(s)</t>
  </si>
  <si>
    <t>cognizant technology solutions</t>
  </si>
  <si>
    <t>Associate</t>
  </si>
  <si>
    <t>Rs 6.90 Lakhs</t>
  </si>
  <si>
    <t>15 Days or less</t>
  </si>
  <si>
    <t>3. 8 years of Remarkable Production Support experience in JAVA, J2EE, Spring applications.</t>
  </si>
  <si>
    <t>B.Tech / B.E.</t>
  </si>
  <si>
    <t>Malla Reddy Engineering College, Ranga Reddy</t>
  </si>
  <si>
    <t>Male</t>
  </si>
  <si>
    <t>Nirmal , Telangana</t>
  </si>
  <si>
    <t>Websphere,apche tomcat ,weblogic,jboss ,ibm http server</t>
  </si>
  <si>
    <r>
      <rPr>
        <rFont val="Arial"/>
        <color rgb="FF1155CC"/>
        <sz val="8.0"/>
        <u/>
      </rPr>
      <t>View profile</t>
    </r>
  </si>
  <si>
    <t>Sumed Balaji Jadhav</t>
  </si>
  <si>
    <t>sumedjadhav40@gmail.com</t>
  </si>
  <si>
    <t>Pune</t>
  </si>
  <si>
    <t>Chennai, Hyderabad, Mumbai, Pune, Remote</t>
  </si>
  <si>
    <t>3 Year(s) 8 Month(s)</t>
  </si>
  <si>
    <t>Infosys</t>
  </si>
  <si>
    <t>Cyber Security and SOC Analyst</t>
  </si>
  <si>
    <t>Rs 4.22 Lakhs</t>
  </si>
  <si>
    <t>1 Months</t>
  </si>
  <si>
    <t>SOC Analyst 3+ Years of hands on experience in SIEM (Splunk,IBM Qradar) EDR (CrowdStrike, SentinelOne), Proofpoint, DLP, MITRE ATT&amp;CK &amp; Insider Threat Specialist, ServiceNow, Rapid7, Dtex, Use cases, Soar automation.</t>
  </si>
  <si>
    <t>STES Smt Kashibai Navale College of Engineering, Pune</t>
  </si>
  <si>
    <t>Latur</t>
  </si>
  <si>
    <t>H</t>
  </si>
  <si>
    <t>1 Month</t>
  </si>
  <si>
    <r>
      <rPr>
        <rFont val="Arial"/>
        <color rgb="FF1155CC"/>
        <sz val="8.0"/>
        <u/>
      </rPr>
      <t>View profile</t>
    </r>
  </si>
  <si>
    <t>Utkarsha Maruti Khot</t>
  </si>
  <si>
    <t>utkarshakhot2027@gmail.com</t>
  </si>
  <si>
    <t>Thane, Mumbai - Maharashtra</t>
  </si>
  <si>
    <t>Pune, Mumbai, Navi Mumbai, Thane, Bengaluru, Hyderabad, Ahmedabad, Gurugram, Remote</t>
  </si>
  <si>
    <t>3 Year(s) 5 Month(s)</t>
  </si>
  <si>
    <t>Accenture</t>
  </si>
  <si>
    <t>Information Security Analyst</t>
  </si>
  <si>
    <t>Rs 5.60 Lakhs</t>
  </si>
  <si>
    <t>Information Security Analyst | 24x7 Security Monitoring | SIEM, EDR, UEBA, SOAR | Splunk |Microsoft Sentinel |CrowdStrike | Microsoft Defender for Endpoint | Incident Response |Threat Detection |3.2 Years Experience | immediate joiner</t>
  </si>
  <si>
    <t>Sanjay Ghodawat University, Kolhapur</t>
  </si>
  <si>
    <t>SOC, SIEM, Splunk, Microsoft Sentinel, CrowdStrike, Microsoft Defender, MITRE ATT&amp;CK, Qualys, Serv</t>
  </si>
  <si>
    <r>
      <rPr>
        <rFont val="Arial"/>
        <color rgb="FF1155CC"/>
        <sz val="8.0"/>
        <u/>
      </rPr>
      <t>View profile</t>
    </r>
  </si>
  <si>
    <t>Parekar k</t>
  </si>
  <si>
    <t>parekar.cybersec12@gmail.com</t>
  </si>
  <si>
    <t>Bengaluru</t>
  </si>
  <si>
    <t>Bengaluru, Pune, Mumbai, Remote, Ahmedabad, Badoda, Vadodara, Chhatrapati Sambhajinagar</t>
  </si>
  <si>
    <t>3 Year(s) 4 Month(s)</t>
  </si>
  <si>
    <t>Rs 7.80 Lakhs</t>
  </si>
  <si>
    <t>Immediate Joiner | SOC Analyst | SIEM(Splunk/Microsoft Sentinel/Qradar) | Security Monitoring | Incident Handling | Threat Analysis | Cybersecurity | 3+ Years Experience |Information Security Analyst | Threat Detection | Incident Response | Phishing</t>
  </si>
  <si>
    <t>Pune University</t>
  </si>
  <si>
    <t>Bellandur Bengaluru</t>
  </si>
  <si>
    <t>soc</t>
  </si>
  <si>
    <r>
      <rPr>
        <rFont val="Arial"/>
        <color rgb="FF1155CC"/>
        <sz val="8.0"/>
        <u/>
      </rPr>
      <t>View profile</t>
    </r>
  </si>
  <si>
    <t>Ashwin Shivprasad Mhamane</t>
  </si>
  <si>
    <t>mhamaneashwin23@gmail.com</t>
  </si>
  <si>
    <t>Pune, Mumbai, Remote</t>
  </si>
  <si>
    <t>3 Year(s) 0 Month(s)</t>
  </si>
  <si>
    <t>STL Digital</t>
  </si>
  <si>
    <t>SOC Engineer</t>
  </si>
  <si>
    <t>Rs 5 Lakhs</t>
  </si>
  <si>
    <t>SOC Analyst with nearly 3 years of experience in Cybersecurity, specializing in SIEM, SOAR, Incident Response, Threat Hunting, and Security Monitoring. Experienced with Microsoft Sentinel, Trellix Helix, Microsoft Defender, CrowdStrike, and Netskope.</t>
  </si>
  <si>
    <t>Siem soar edr xdr</t>
  </si>
  <si>
    <r>
      <rPr>
        <rFont val="Arial"/>
        <color rgb="FF1155CC"/>
        <sz val="8.0"/>
        <u/>
      </rPr>
      <t>View profile</t>
    </r>
  </si>
  <si>
    <t>Pruthviraj Prakash Desai</t>
  </si>
  <si>
    <t>pruthvirajdesai345@gmail.com</t>
  </si>
  <si>
    <t>New Mumbai - Maharashtra</t>
  </si>
  <si>
    <t>Chandigarh, Chennai, Bengaluru, Noida, Mumbai (All Areas), Navi Mumbai, Mumbai, Pune, Hyderabad, Remote</t>
  </si>
  <si>
    <t>2 Year(s) 9 Month(s)</t>
  </si>
  <si>
    <t>Overal 2.7 years of IT experience in Information Security and hands on experience on SIEM tools like Qradar, Splunk and DNIF for 24/7 Monitoring of MSSP environment. Performing Log Analysis, Email Analysis, Health Checks, Dashboard Monitoring.</t>
  </si>
  <si>
    <t>Maybe</t>
  </si>
  <si>
    <t>Edu: B.Sc 2022
Current Location: Navi Mumbai
Hometown: kolapur
Total Exp: 2.9 years 
Current CTC: 5LPA
Expected CTC: 7LPA
Notice period: 30days
Certificate: No</t>
  </si>
  <si>
    <t>Profile shared with Vipul Sir on 3rd September via email</t>
  </si>
  <si>
    <t>No</t>
  </si>
  <si>
    <r>
      <rPr>
        <rFont val="Arial"/>
        <color rgb="FF1155CC"/>
        <sz val="8.0"/>
        <u/>
      </rPr>
      <t>View profile</t>
    </r>
  </si>
  <si>
    <t>Devendra Tripathi</t>
  </si>
  <si>
    <t>devtripathi576@gmail.com</t>
  </si>
  <si>
    <t>Noida</t>
  </si>
  <si>
    <t>Delhi / NCR, New Delhi, Noida, Gurugram, Pune, Chennai, Ahmedabad, Bengaluru, Hyderabad, Indore</t>
  </si>
  <si>
    <t>Indus Valley Partners</t>
  </si>
  <si>
    <t>IT Security Associate</t>
  </si>
  <si>
    <t>Rs 4.70 Lakhs</t>
  </si>
  <si>
    <t>IT Engineer | Cybersecurity Analyst | SOC | Security Operations | AWS | Active Directory | Endpoint Security | Vulnerability Management | SIEM | Network Security | Incident Management |</t>
  </si>
  <si>
    <t>GLA University, Mathura</t>
  </si>
  <si>
    <t>Gorakhpur</t>
  </si>
  <si>
    <r>
      <rPr>
        <rFont val="Arial"/>
        <color rgb="FF1155CC"/>
        <sz val="8.0"/>
        <u/>
      </rPr>
      <t>View profile</t>
    </r>
  </si>
  <si>
    <t>Tangudu Pavan Sai</t>
  </si>
  <si>
    <t>pavanvicky9182@gmail.com</t>
  </si>
  <si>
    <t>Delhi / NCR, Gurugram, Noida, Remote, Chennai, Hyderabad, Bengaluru, Pune, Mumbai, Coimbatore</t>
  </si>
  <si>
    <t>4 Year(s) 5 Month(s)</t>
  </si>
  <si>
    <t>Tata Consultancy Services(TCS)</t>
  </si>
  <si>
    <t>Cyber Security Analyst</t>
  </si>
  <si>
    <t>Rs 4.50 Lakhs</t>
  </si>
  <si>
    <t>Seasoned professional with 4+years of experience. Expert in Edr, Security Operations Center, Threat Analysis, Security Operations, Incident Response</t>
  </si>
  <si>
    <t>Satya Institute of Technology and Management, Vizianagaram</t>
  </si>
  <si>
    <t>TCS Employee</t>
  </si>
  <si>
    <t>SOC</t>
  </si>
  <si>
    <r>
      <rPr>
        <rFont val="Arial"/>
        <color rgb="FF1155CC"/>
        <sz val="8.0"/>
        <u/>
      </rPr>
      <t>View profile</t>
    </r>
  </si>
  <si>
    <t>Abhishek Yuvraj Patil.</t>
  </si>
  <si>
    <t>abhishekhpatil99@gmail.com</t>
  </si>
  <si>
    <t>Mumbai</t>
  </si>
  <si>
    <t>Pune, Mumbai, Bengaluru, Delhi / NCR, Noida, Chennai</t>
  </si>
  <si>
    <t>2 Year(s) 8 Month(s)</t>
  </si>
  <si>
    <t>Cyber Security Analyst| Nearly 3 Years of experience Threat Detection | Incident Response | SIEM (Splunk, Qradar)| SOC Monitoring | Security Operations Center (SOC) Analyst (L1) | EDR (CrowdStrike, MS Defender) |</t>
  </si>
  <si>
    <t>Dr Babasaheb Ambedkar Technological University, Lonere</t>
  </si>
  <si>
    <t>SANGLI</t>
  </si>
  <si>
    <t>Edr,Xdr,micro apex one</t>
  </si>
  <si>
    <t>2 years</t>
  </si>
  <si>
    <r>
      <rPr>
        <rFont val="Arial"/>
        <color rgb="FF1155CC"/>
        <sz val="8.0"/>
        <u/>
      </rPr>
      <t>View profile</t>
    </r>
  </si>
  <si>
    <t>Ritika Koshti</t>
  </si>
  <si>
    <t>koshtiritu444@gmail.com</t>
  </si>
  <si>
    <t>New Delhi, Pune, Mumbai, Remote, Ahmedabad</t>
  </si>
  <si>
    <t>2 Year(s) 6 Month(s)</t>
  </si>
  <si>
    <t>CyberNX Technologies</t>
  </si>
  <si>
    <t>SOC Analyst - L1</t>
  </si>
  <si>
    <t>Rs 5.50 Lakhs</t>
  </si>
  <si>
    <t>Hands-on experience in Cyber Security, Endpoint Security, Sophos Central, Security Operations Centre, Log Analysis, Risk Analysis, Threat Hunting, CEH, SIEM, EDR, ELK, IBM Qradar, Splunk, Azure Sentinel, Azure AD, Office 365, Security Audit, GRC</t>
  </si>
  <si>
    <t>Holkar Science College, Indore</t>
  </si>
  <si>
    <t>Cyber Security Engineering</t>
  </si>
  <si>
    <t>Rashtriya Raksha University, Gandhinagar</t>
  </si>
  <si>
    <t>Dewas, Madhya Pradesh</t>
  </si>
  <si>
    <t>-</t>
  </si>
  <si>
    <t>1 year</t>
  </si>
  <si>
    <r>
      <rPr>
        <rFont val="Arial"/>
        <color rgb="FF1155CC"/>
        <sz val="8.0"/>
        <u/>
      </rPr>
      <t>View profile</t>
    </r>
  </si>
  <si>
    <t>Murkute Vaibhav</t>
  </si>
  <si>
    <t>murkutevaibhav14@gmail.com</t>
  </si>
  <si>
    <t>Pune, Remote, Mumbai</t>
  </si>
  <si>
    <t>3 Year(s) 3 Month(s)</t>
  </si>
  <si>
    <t>Rs 6 Lakhs</t>
  </si>
  <si>
    <t>Soc Analyst L1 | SIEM | SPLUNK | Microsoft Sentinel | EDR | MS Defender | Crowdstrike | Threat Detection &amp; Incidence Response | Email Security | GRC | DLP | Vulnerability Assessment | Vulnerability Management | Tenable SC | Nessus |</t>
  </si>
  <si>
    <t>Siem.edr</t>
  </si>
  <si>
    <t>3.3 years</t>
  </si>
  <si>
    <r>
      <rPr>
        <rFont val="Arial"/>
        <color rgb="FF1155CC"/>
        <sz val="8.0"/>
        <u/>
      </rPr>
      <t>View profile</t>
    </r>
  </si>
  <si>
    <t>Gayatri Girish Girwalkar</t>
  </si>
  <si>
    <t>gayatrigirwalkar31@gmail.com</t>
  </si>
  <si>
    <t>7620448657, +7620448657</t>
  </si>
  <si>
    <t>Pune, Bengaluru</t>
  </si>
  <si>
    <t>4 Year(s) 7 Month(s)</t>
  </si>
  <si>
    <t>HCLTech</t>
  </si>
  <si>
    <t>Senior Analyst</t>
  </si>
  <si>
    <t>Rs 5.75 Lakhs</t>
  </si>
  <si>
    <t>Senior Analyst – Endpoint Security (EDR/AV), SOC Operations, SIEM &amp; SOAR, SOC Analyst, Microsoft Defender, Trend Micro, Crowdstrike, Trellix ePO, Trellix EDR, service now, Incidence response, jira, Google Siemplify, Devo |HCLTech|4.5+ experience.</t>
  </si>
  <si>
    <t>Bidve college</t>
  </si>
  <si>
    <t>latur</t>
  </si>
  <si>
    <t>Trend Micro Cloudone, Microsoft Defender for endpoint</t>
  </si>
  <si>
    <r>
      <rPr>
        <rFont val="Arial"/>
        <color rgb="FF1155CC"/>
        <sz val="8.0"/>
        <u/>
      </rPr>
      <t>View profile</t>
    </r>
  </si>
  <si>
    <t>Snigdha Prusty</t>
  </si>
  <si>
    <t>snigdhaprusty01@gmail.com, snigdhaprusty01@gmail.com</t>
  </si>
  <si>
    <t>Hyderabad, Bhubaneswar, Bengaluru, Remote, Mumbai, Pune, Kolkata</t>
  </si>
  <si>
    <t>Sify</t>
  </si>
  <si>
    <t>Major Incident Manager</t>
  </si>
  <si>
    <t>Rs 2.50 Lakhs</t>
  </si>
  <si>
    <t>Major Incident Manager | Incident Management | ITSM | ITIL | ServiceNow | AppDynamics | Zabbix | SolarWinds | PIR | MIR | SLA | RCA | Stakeholder Management | Bridge Call | Escalation Management | Problem Management | Change Management | Leadership</t>
  </si>
  <si>
    <t>Gita Autonomous College, Bhubaneswar</t>
  </si>
  <si>
    <t>Bhubaneswar</t>
  </si>
  <si>
    <t>Itil</t>
  </si>
  <si>
    <r>
      <rPr>
        <rFont val="Arial"/>
        <color rgb="FF1155CC"/>
        <sz val="8.0"/>
        <u/>
      </rPr>
      <t>View profile</t>
    </r>
  </si>
  <si>
    <t>Pranav Sandesh Khegade</t>
  </si>
  <si>
    <t>pranavkhegade23@gmail.com</t>
  </si>
  <si>
    <t>Mumbai (All Areas), Navi Mumbai, Pune, Mumbai, Hyderabad, Bengaluru, Remote</t>
  </si>
  <si>
    <t>2 Year(s) 2 Month(s)</t>
  </si>
  <si>
    <t>SOC Analyst L1 | 2+ Yrs Exp | SIEM (Splunk, Sentinel) | Phishing &amp; Email Security | Incident Response | CrowdStrike | Threat Intelligence</t>
  </si>
  <si>
    <t>Cyber security analyst</t>
  </si>
  <si>
    <r>
      <rPr>
        <rFont val="Arial"/>
        <color rgb="FF1155CC"/>
        <sz val="8.0"/>
        <u/>
      </rPr>
      <t>View profile</t>
    </r>
  </si>
  <si>
    <t>Omprakash Nath</t>
  </si>
  <si>
    <t>omprakashnath10@gmail.com</t>
  </si>
  <si>
    <t>Gurugram</t>
  </si>
  <si>
    <t>Delhi / NCR, Ahmedabad, Gurugram, New Delhi, Pune, Mumbai, Bengaluru, Noida, Hyderabad, Bhubaneswar</t>
  </si>
  <si>
    <t>Sun Life Global Solutions</t>
  </si>
  <si>
    <t>Application Support Engineer</t>
  </si>
  <si>
    <t>Rs 6.50 Lakhs</t>
  </si>
  <si>
    <t>Experienced Production Support Engineer | Expertise in Unix/Oracle, SQL, PL/SQL | Proficient in L1/L2 Support &amp; Job Automation (AUTOSYS, Apache Airflow)</t>
  </si>
  <si>
    <t>Utkal University</t>
  </si>
  <si>
    <t>Computers</t>
  </si>
  <si>
    <t>KIIT University, Bhuvaneshwar</t>
  </si>
  <si>
    <t>bhadrak</t>
  </si>
  <si>
    <t>Sql, Pl/Sql, Linux/Unix, ETL, Informatica Powercenter</t>
  </si>
  <si>
    <t>4.5 years</t>
  </si>
  <si>
    <r>
      <rPr>
        <rFont val="Arial"/>
        <color rgb="FF1155CC"/>
        <sz val="8.0"/>
        <u/>
      </rPr>
      <t>View profile</t>
    </r>
  </si>
  <si>
    <t>Gandikota Venkateswararao</t>
  </si>
  <si>
    <t>gandikotavenkateswararao22@gmail.com</t>
  </si>
  <si>
    <t>Bengaluru, Pune, Hyderabad, Mumbai, Kolkata, Chennai, Noida, Ahmedabad, Gurugram, Delhi / NCR</t>
  </si>
  <si>
    <t>IBM</t>
  </si>
  <si>
    <t>Infrastructure Support &amp; Monitoring Engineer</t>
  </si>
  <si>
    <t>Infrastructure Support &amp; Monitoring Engineer | 3 Years Experience | NOC Operations | Windows &amp; Linux | Dynatrace | Azure Monitor | AWS CloudWatch</t>
  </si>
  <si>
    <t>Akkineni Nageswara Rao College, Krishna</t>
  </si>
  <si>
    <t>gudlavalleru</t>
  </si>
  <si>
    <t>so many</t>
  </si>
  <si>
    <r>
      <rPr>
        <rFont val="Arial"/>
        <color rgb="FF1155CC"/>
        <sz val="8.0"/>
        <u/>
      </rPr>
      <t>View profile</t>
    </r>
  </si>
  <si>
    <t>KIRAN KUMAR AVUSULA</t>
  </si>
  <si>
    <t>kirankumaravusula9@gmail.com</t>
  </si>
  <si>
    <t>Bengaluru, Hyderabad, Chennai, Pune, Noida, Ahmedabad, Gurugram, Kolkata, Mumbai, Delhi / NCR</t>
  </si>
  <si>
    <t>3 Year(s) 9 Month(s)</t>
  </si>
  <si>
    <t>Deloitte</t>
  </si>
  <si>
    <t>Security Analyst</t>
  </si>
  <si>
    <t>Rs 5.20 Lakhs</t>
  </si>
  <si>
    <t>Security Analyst with 4 years of experience in Security Operations Centre (SOC), Incident Response, Threat Hunting, Detection Engineering, and Endpoint Security. Proficient in Microsoft Sentinel, Defender XDR, Intune, KQL, SPL, Conditional Access.</t>
  </si>
  <si>
    <t>B.B.A. / B.M.S.</t>
  </si>
  <si>
    <t>Osmania University, Hyderabad</t>
  </si>
  <si>
    <t>sentinel, kql, defender, trendmicro, email security</t>
  </si>
  <si>
    <r>
      <rPr>
        <rFont val="Arial"/>
        <color rgb="FF1155CC"/>
        <sz val="8.0"/>
        <u/>
      </rPr>
      <t>View profile</t>
    </r>
  </si>
  <si>
    <t>Vaibhav Rajaram Todkar</t>
  </si>
  <si>
    <t>vaibhavtodkar010@gmail.com</t>
  </si>
  <si>
    <t>Navi Mumbai</t>
  </si>
  <si>
    <t>Mumbai (All Areas), Mumbai, Pune, Remote</t>
  </si>
  <si>
    <t>Inspira Enterprise India</t>
  </si>
  <si>
    <t>Information Security Analyst 3 Years SOC Experience Splunk ,SIEM ,EDR ,Security Monitoring,Threat Detection ,Incident Response , Incident Management , Log Analysis ,Threat Analysis , Network Security ,Endpoint Security, Phishing &amp; Malwar</t>
  </si>
  <si>
    <t>Ch Shivaji University, Maharashtra kolhapur</t>
  </si>
  <si>
    <t>Dr. D.Y. Patil Institute of Technology</t>
  </si>
  <si>
    <t>Edu: BSc, 2022 - MCA,2024
Current Location: Navi Mumbai
Hometown: Navi Mumbai
Total Exp : 3.3 yrs
Current CTC: 5.5LPA
Expected CTC: Holding offer of 7.5LPA , 8LPA Negotiable
Notice period: 10Sep'26
Certificate: Yes</t>
  </si>
  <si>
    <t>Edr Siem Splunk AD</t>
  </si>
  <si>
    <r>
      <rPr>
        <rFont val="Arial"/>
        <color rgb="FF1155CC"/>
        <sz val="8.0"/>
        <u/>
      </rPr>
      <t>View profile</t>
    </r>
  </si>
  <si>
    <t>MahamadSameer</t>
  </si>
  <si>
    <t>mmchoudhary0407@gmail.com</t>
  </si>
  <si>
    <t>Navi Mumbai, Mumbai (All Areas), Thane, Bengaluru, Remote, Mumbai, Pune, Hyderabad</t>
  </si>
  <si>
    <t>2 Year(s) 0 Month(s)</t>
  </si>
  <si>
    <t>Rs 4.20 Lakhs</t>
  </si>
  <si>
    <t>Cybersecurity Analyst with expertise in SIEM,Qradar,Splunk,Endpoint Security,Log Analysis,Dlp,Firewall Management,Alert Investigation,Phishing Analysis,Threat Detection,Incident Investigation,Cyber Security,Information Security,CISCO XDR,EDR</t>
  </si>
  <si>
    <t>Visvesvaraya Technological University (VTU)</t>
  </si>
  <si>
    <t>Hunasagi</t>
  </si>
  <si>
    <t>Splunk, sentinel, qradar,edr, phishing analysis, malware analysis, bruteforce, ddos</t>
  </si>
  <si>
    <r>
      <rPr>
        <rFont val="Arial"/>
        <color rgb="FF1155CC"/>
        <sz val="8.0"/>
        <u/>
      </rPr>
      <t>View profile</t>
    </r>
  </si>
  <si>
    <t>Rupesh Ravindra Kudalkar</t>
  </si>
  <si>
    <t>rupeshkudalkar2000@gmail.com</t>
  </si>
  <si>
    <t>Raygain Technologies</t>
  </si>
  <si>
    <t>SOC Analyst</t>
  </si>
  <si>
    <t>SOC Analyst | Threat Detection &amp; Incident Response | Security Monitoring | Incident Investigation | Alert Analysis |</t>
  </si>
  <si>
    <t>Chh Shahu Central Institute of Business Education &amp; Research, Kolhapur</t>
  </si>
  <si>
    <t>kolhapur</t>
  </si>
  <si>
    <t>Incident response</t>
  </si>
  <si>
    <r>
      <rPr>
        <rFont val="Arial"/>
        <color rgb="FF1155CC"/>
        <sz val="8.0"/>
        <u/>
      </rPr>
      <t>View profile</t>
    </r>
  </si>
  <si>
    <t>Akash Sonkide</t>
  </si>
  <si>
    <t>akashsonkide1@gmail.com</t>
  </si>
  <si>
    <t>Kolkata, Hyderabad, Navi Mumbai, Pune, Remote, Mumbai</t>
  </si>
  <si>
    <t>6 Year(s) 6 Month(s)</t>
  </si>
  <si>
    <t>Experis It Private limited (Atos)</t>
  </si>
  <si>
    <t>Endpoint Security Administrator</t>
  </si>
  <si>
    <t>Rs 5.72 Lakhs</t>
  </si>
  <si>
    <t>3 Months</t>
  </si>
  <si>
    <t>Seasoned professional with 4 years of experience. Expert in Cyber security, Endpoint security, DLP, Networking,Computer Hardware,Troubleshooting,Hardware,Software Installation, EPP,EPO,EPS,SIEM, Intune</t>
  </si>
  <si>
    <t>Department, policy create, troubleshooting, epo console, monitoring, insided management, insulation</t>
  </si>
  <si>
    <r>
      <rPr>
        <rFont val="Arial"/>
        <color rgb="FF1155CC"/>
        <sz val="8.0"/>
        <u/>
      </rPr>
      <t>View profile</t>
    </r>
  </si>
  <si>
    <t>Saikaran Shashank Kondekar</t>
  </si>
  <si>
    <t>saikarankondekar7027@gmail.com, saikarankondekar7027@gmail.com</t>
  </si>
  <si>
    <t>Mumbai, Pune</t>
  </si>
  <si>
    <t>Information Security Analyst | SOC L1 | SIEM | Splunk | CrowdStrike | Microsoft Defender | VA | Incident Response | Threat Detection</t>
  </si>
  <si>
    <t>DY Patil College of Engineering and Technology, Kolhapur</t>
  </si>
  <si>
    <t>A/P-Yamage</t>
  </si>
  <si>
    <t>Edu: B.Tech'2025
Current Location: Mumbai
Hometown: Kolapur
Total Exp: 3years
Current CTC: 5.5LPA
Expected CTC: 8LPA
Notice period: LWD 10 Sep'2026
Certificate: No</t>
  </si>
  <si>
    <t>Splunk, Crowdstrike, Mimecast</t>
  </si>
  <si>
    <r>
      <rPr>
        <rFont val="Arial"/>
        <color rgb="FF1155CC"/>
        <sz val="8.0"/>
        <u/>
      </rPr>
      <t>View profile</t>
    </r>
  </si>
  <si>
    <t>Rajesh Sanjay Ghungurkar</t>
  </si>
  <si>
    <t>rajeshghungurkar0205@gmail.com</t>
  </si>
  <si>
    <t>Hyderabad, Bengaluru, Remote, Pune, Mumbai</t>
  </si>
  <si>
    <t>Cyber Security Analyst | SOC L1 | 2+ Years Experience | SIEM | Splunk | Microsoft Sentinel | CrowdStrike | Proofpoint | Incident Response | Threat Hunting | Phishing Analysis | Email Analysis | Networking Protocols |</t>
  </si>
  <si>
    <t>Shivaji University, Maharashtra</t>
  </si>
  <si>
    <t>GARGOTI</t>
  </si>
  <si>
    <t>SOC, Splunk,Proof point</t>
  </si>
  <si>
    <r>
      <rPr>
        <rFont val="Arial"/>
        <color rgb="FF1155CC"/>
        <sz val="8.0"/>
        <u/>
      </rPr>
      <t>View profile</t>
    </r>
  </si>
  <si>
    <t>Dharmesh</t>
  </si>
  <si>
    <t>dharmesh24km@gmail.com</t>
  </si>
  <si>
    <t>Chenani</t>
  </si>
  <si>
    <t>Hyderabad, Pune, Mumbai, Remote, Bengaluru, Chennai</t>
  </si>
  <si>
    <t>4 Year(s) 1 Month(s)</t>
  </si>
  <si>
    <t>Over 4 years of experiencein Production Support Engineer | JAVA Application Support engineer|Control-M|shell scripting | SQL |Unix/Linux| ITIL |Defect Tracking|Production Monitoring|Application support|Incident Management|Troubleshooting|Devops|JAVA.</t>
  </si>
  <si>
    <t>Periyar University</t>
  </si>
  <si>
    <t>Kallakurichi</t>
  </si>
  <si>
    <t>Uinx/Linux</t>
  </si>
  <si>
    <r>
      <rPr>
        <rFont val="Arial"/>
        <color rgb="FF1155CC"/>
        <sz val="8.0"/>
        <u/>
      </rPr>
      <t>View profile</t>
    </r>
  </si>
  <si>
    <t>Suraj Desai</t>
  </si>
  <si>
    <t>surajdesai9765@gmail.com</t>
  </si>
  <si>
    <t>Mumbai, Navi Mumbai, Hyderabad, Bengaluru, Pune, Remote</t>
  </si>
  <si>
    <t>3 Year(s) 2 Month(s)</t>
  </si>
  <si>
    <t>World Network Services (WNS)</t>
  </si>
  <si>
    <t>Information Security Analyst with 3 
 Years of SOC Experience, Proficient in Security Monitoring, Network Analysis, Security Analysis, Network Security, Cyber Security, Incident Management. Log analysis, IT Security, Security Operations.</t>
  </si>
  <si>
    <t>Soc</t>
  </si>
  <si>
    <r>
      <rPr>
        <rFont val="Arial"/>
        <color rgb="FF1155CC"/>
        <sz val="8.0"/>
        <u/>
      </rPr>
      <t>View profile</t>
    </r>
  </si>
  <si>
    <t>Naga Siva Prasad Reddy.M</t>
  </si>
  <si>
    <t>nagasivaprasad07@gmail.com</t>
  </si>
  <si>
    <t>Gurugram, Ahmedabad, Hyderabad, Bengaluru, Chennai, Pune, Mumbai, Remote</t>
  </si>
  <si>
    <t>I'm having 3.6 years experience in SOC with SIEM, Qradar, Splunk, Microsoft sentinel, Crowdstrike, Incident Response, Incident management, Threat Detection, SOC Monitoring, Malware Analysis, Network Security, Log Analysis, Threat Intelligence, EDR.</t>
  </si>
  <si>
    <t>NBKR Institute of Science and Technology, Vidyanagar</t>
  </si>
  <si>
    <t>Kadapa</t>
  </si>
  <si>
    <r>
      <rPr>
        <rFont val="Arial"/>
        <color rgb="FF1155CC"/>
        <sz val="8.0"/>
        <u/>
      </rPr>
      <t>View profile</t>
    </r>
  </si>
  <si>
    <t>Pooja Balasaheb Kahandal</t>
  </si>
  <si>
    <t>poojakahandal90@gmail.com</t>
  </si>
  <si>
    <t>Remote, Pune, Mumbai</t>
  </si>
  <si>
    <t>Experienced Security Analyst with expertise in Microsoft Defender,Qradar,Threat Analysis,Phishing email analysis,Incident Response,SIEM,Splunk,Log Analysis,IDS,IPS,Crowdstrike,Incident Management,Vulnerability Scanning,Threat Detection.</t>
  </si>
  <si>
    <t>Savitribai Phule Pune University, Maharashtra</t>
  </si>
  <si>
    <t>SIEM,FDR,EDR</t>
  </si>
  <si>
    <t>No experience</t>
  </si>
  <si>
    <r>
      <rPr>
        <rFont val="Arial"/>
        <color rgb="FF1155CC"/>
        <sz val="8.0"/>
        <u/>
      </rPr>
      <t>View profile</t>
    </r>
  </si>
  <si>
    <t>Jayesh Sachdev</t>
  </si>
  <si>
    <t>jayeshsachdev99@gmail.com</t>
  </si>
  <si>
    <t>Navi Mumbai, Mumbai, Pune, Remote, Ahmedabad</t>
  </si>
  <si>
    <t>2 Year(s) 5 Month(s)</t>
  </si>
  <si>
    <t>Eventus security</t>
  </si>
  <si>
    <t>Associate Security Engineer</t>
  </si>
  <si>
    <t>Rs 3.80 Lakhs</t>
  </si>
  <si>
    <t>Aspiring to work with an organization that offers responsible position where I can utilize my skills</t>
  </si>
  <si>
    <t>Thadomal Shahani Engineering College</t>
  </si>
  <si>
    <t>Ulhasnagar</t>
  </si>
  <si>
    <t>Trend micro products</t>
  </si>
  <si>
    <r>
      <rPr>
        <rFont val="Arial"/>
        <color rgb="FF1155CC"/>
        <sz val="8.0"/>
        <u/>
      </rPr>
      <t>View profile</t>
    </r>
  </si>
  <si>
    <t>Vinayak Prakash Suryawanshi</t>
  </si>
  <si>
    <t>vinayaksuryawanshi2025@gmail.com</t>
  </si>
  <si>
    <t>Mumbai, Pune, Remote</t>
  </si>
  <si>
    <t>SOC Analyst L1 | Cybersecurity Analyst | 2.5 Years Experience | Splunk | SIEM | EDR | Microsoft Defender | ServiceNow | Incident Response.</t>
  </si>
  <si>
    <t>SIEM, EDR</t>
  </si>
  <si>
    <t>Same</t>
  </si>
  <si>
    <t>2.5 years</t>
  </si>
  <si>
    <r>
      <rPr>
        <rFont val="Arial"/>
        <color rgb="FF1155CC"/>
        <sz val="8.0"/>
        <u/>
      </rPr>
      <t>View profile</t>
    </r>
  </si>
  <si>
    <t>Amita Kumari Singh</t>
  </si>
  <si>
    <t>amitasingh623@gmail.com</t>
  </si>
  <si>
    <t>Kolkata, Mumbai</t>
  </si>
  <si>
    <t>4 Year(s) 6 Month(s)</t>
  </si>
  <si>
    <t>Logix Infosecurity</t>
  </si>
  <si>
    <t>Cloud Solution Engineer</t>
  </si>
  <si>
    <t>Cloud Solution Engineer | Microsoft Azure | Azure Logic App | Azure Function | Azure Storage Account | Azure Service Bus | Azure Key Vault | Azure Managed Identities | Application Insights | Azure Monitoring | .Net C# | CI/CD Pipeline</t>
  </si>
  <si>
    <t>Camellia Institute of Technology,Kolkata</t>
  </si>
  <si>
    <t>dhanbad</t>
  </si>
  <si>
    <t>Na</t>
  </si>
  <si>
    <r>
      <rPr>
        <rFont val="Arial"/>
        <color rgb="FF1155CC"/>
        <sz val="8.0"/>
        <u/>
      </rPr>
      <t>View profile</t>
    </r>
  </si>
  <si>
    <t>Dinesh Arun Patil</t>
  </si>
  <si>
    <t>patildiinesh44@gmail.com, patildiinesh44@gmail.com</t>
  </si>
  <si>
    <t>Pune, Mumbai, Hyderabad, Ahmedabad, Indore, Vadodara, Bengaluru, Noida, Gurugram, Vapi</t>
  </si>
  <si>
    <t>2 Year(s) 4 Month(s)</t>
  </si>
  <si>
    <t>Brillioz Infotech</t>
  </si>
  <si>
    <t>SOC Analyst | 2+ Years Experience | Splunk SIEM | CrowdStrike EDR | Threat Analysis | Alert Investigation | Incident Response | Threat Hunting | Security Monitoring | Log Analysis | IOC Enrichment | Malware Analysis | Phishing Analysis</t>
  </si>
  <si>
    <t>North Maharashtra University (NMU)</t>
  </si>
  <si>
    <t>JALGAON, MAHARASHTRA</t>
  </si>
  <si>
    <t>Siem splunk , crowdstrike , incident response, alert investigation.</t>
  </si>
  <si>
    <r>
      <rPr>
        <rFont val="Arial"/>
        <color rgb="FF1155CC"/>
        <sz val="8.0"/>
        <u/>
      </rPr>
      <t>View profile</t>
    </r>
  </si>
  <si>
    <t>Bora Kartheek</t>
  </si>
  <si>
    <t>borakartheek27@gmail.com</t>
  </si>
  <si>
    <t>Visakhapatnam</t>
  </si>
  <si>
    <t>Bengaluru, Mumbai, Pune, Chennai, Hyderabad, Gurugram, Noida, Kolkata, Delhi / NCR, Remote</t>
  </si>
  <si>
    <t>Ventas Softech</t>
  </si>
  <si>
    <t>Network Security Engineer</t>
  </si>
  <si>
    <t>I am having an exp of 2+ years working as network security engineer with hands-on exp working on routers,switches,firewalls,sdwan,Infoblox. I am interested to learn &amp; work on new technologies in my domain with flexibility to work in 24*7 shifts also.</t>
  </si>
  <si>
    <t>BTECH</t>
  </si>
  <si>
    <t>Raghu Engineering College, Visakhapatnam</t>
  </si>
  <si>
    <t>visakhapatnam</t>
  </si>
  <si>
    <t>yes</t>
  </si>
  <si>
    <r>
      <rPr>
        <rFont val="Arial"/>
        <color rgb="FF1155CC"/>
        <sz val="8.0"/>
        <u/>
      </rPr>
      <t>View profile</t>
    </r>
  </si>
  <si>
    <t>Suhasi Kathane</t>
  </si>
  <si>
    <t>kathanesuhasi0987@gmail.com</t>
  </si>
  <si>
    <t>Remote, Pune, Mumbai, Hyderabad, Nagpur, Chennai, Bengaluru, Noida, Gurugram</t>
  </si>
  <si>
    <t>Leo TechnoSoft</t>
  </si>
  <si>
    <t>Rs 3.50 Lakhs</t>
  </si>
  <si>
    <t>Immediate Joiner| SOC L1/L2 | 2.5 Years | Microsoft Sentinel &amp; Defender | Security Monitoring | SIEM | Alienvault | SOAR | Incident Response | Malware &amp; Phishing Analysis | Log Analysis| Threat intelligence tools|Greylogger|CEHV12|KQL| Threat Hunting</t>
  </si>
  <si>
    <t>CMCS Yavatmal, Amravati University</t>
  </si>
  <si>
    <t>SOC,SIEM,Microsoft sentinel/Defender,KQL,Malware/Phishing Analysis,Working on Trend Micro vision one</t>
  </si>
  <si>
    <r>
      <rPr>
        <rFont val="Arial"/>
        <color rgb="FF1155CC"/>
        <sz val="8.0"/>
        <u/>
      </rPr>
      <t>View profile</t>
    </r>
  </si>
  <si>
    <t>Deepak Javalgi</t>
  </si>
  <si>
    <t>deepakjavalgi15@gmail.com</t>
  </si>
  <si>
    <t>Navi Mumbai, Mumbai, Remote, Pune</t>
  </si>
  <si>
    <t>Sify Technologies</t>
  </si>
  <si>
    <t>Engineer - Security</t>
  </si>
  <si>
    <t>Rs 7.27 Lakhs</t>
  </si>
  <si>
    <t>Engineer - Security with over 2 years of experience in SOC operations, SIEM monitoring, threat hunting, and incident response, skilled in utilizing RSA, Splunk, and advanced security technologies to mitigate and analyze threats.</t>
  </si>
  <si>
    <t>Dr. D.Y. Patil Institute of Engineering Management and Research, Akurdi</t>
  </si>
  <si>
    <t>Log analysis, SIEM, Splunk, RSA Netwitness, EDR</t>
  </si>
  <si>
    <r>
      <rPr>
        <rFont val="Arial"/>
        <color rgb="FF1155CC"/>
        <sz val="8.0"/>
        <u/>
      </rPr>
      <t>View profile</t>
    </r>
  </si>
  <si>
    <t>Yogesh Mohan Pasare</t>
  </si>
  <si>
    <t>yogeshpasare19@gmail.com</t>
  </si>
  <si>
    <t>Security Analyst | SIEM | EDR | Incident Response | Log Analysis | Threat Detection | Cyber Security | 2.5 Years Experience</t>
  </si>
  <si>
    <t>Malware,phishing</t>
  </si>
  <si>
    <r>
      <rPr>
        <rFont val="Arial"/>
        <color rgb="FF1155CC"/>
        <sz val="8.0"/>
        <u/>
      </rPr>
      <t>View profile</t>
    </r>
  </si>
  <si>
    <t>Bandaru Shiva Ganesh</t>
  </si>
  <si>
    <t>bandarushiva130498@gmail.com, bandarushiva130498@gmail.com</t>
  </si>
  <si>
    <t>8328101269, +8686869420</t>
  </si>
  <si>
    <t>Hyderabad, Remote, Bengaluru, Pune, Mumbai, Chennai, Noida, Gurugram, Kolkata, India</t>
  </si>
  <si>
    <t>5 Year(s) 2 Month(s)</t>
  </si>
  <si>
    <t>Capgemini Technology Services India Limited</t>
  </si>
  <si>
    <t>CyberSecurity,TM Endpoint Security &amp; Vulnerability Management,Trend Micro,Tenable.io,EPS</t>
  </si>
  <si>
    <t>Rs 5.80 Lakhs</t>
  </si>
  <si>
    <t>Dynamic Cyber Security Engineer with over 5+ years of expertise in Endpoint Security and Vulnerability Management, specializing in Trend Micro and Tenable solutions, proficient in Cybersecurity policy configuration and vulnerability assessment</t>
  </si>
  <si>
    <t>Jawaharlal Nehru Technological University (JNTU)</t>
  </si>
  <si>
    <t>TREND MICRO,ENDPOINT SECURITY</t>
  </si>
  <si>
    <r>
      <rPr>
        <rFont val="Arial"/>
        <color rgb="FF1155CC"/>
        <sz val="8.0"/>
        <u/>
      </rPr>
      <t>View profile</t>
    </r>
  </si>
  <si>
    <t>Bhaiyaso Sanjay Kole</t>
  </si>
  <si>
    <t>bhaiyasokole3008@gmail.com</t>
  </si>
  <si>
    <t>Mumbai (All Areas), Remote, Mumbai, Pune</t>
  </si>
  <si>
    <t>IBM Mumbai</t>
  </si>
  <si>
    <t>Information Security Analyst with 3.2 Years of SOC Experience, Proficient in Security Monitoring, Network Analysis, Security Analysis, Network Security, Incident Management, Penetration Testing. Log analysis, IT Security,Security Operations .</t>
  </si>
  <si>
    <t>Cyber Security</t>
  </si>
  <si>
    <t>mumbai</t>
  </si>
  <si>
    <t>Splunk</t>
  </si>
  <si>
    <t>3 years</t>
  </si>
  <si>
    <r>
      <rPr>
        <rFont val="Arial"/>
        <color rgb="FF1155CC"/>
        <sz val="8.0"/>
        <u/>
      </rPr>
      <t>View profile</t>
    </r>
  </si>
  <si>
    <t>Jaypal Rathod</t>
  </si>
  <si>
    <t>rjay23040@gmail.com</t>
  </si>
  <si>
    <t>8605980399, +8605980399</t>
  </si>
  <si>
    <t>Cloud Annotations Pvt.Ltd</t>
  </si>
  <si>
    <t>AWS Cloud Engineer with DevOps &amp; Cloud Security Skills</t>
  </si>
  <si>
    <t>Amravati University</t>
  </si>
  <si>
    <t>pusad</t>
  </si>
  <si>
    <t>cyber security</t>
  </si>
  <si>
    <r>
      <rPr>
        <rFont val="Arial"/>
        <color rgb="FF1155CC"/>
        <sz val="8.0"/>
        <u/>
      </rPr>
      <t>View profile</t>
    </r>
  </si>
  <si>
    <t>Sumedh Rananaware</t>
  </si>
  <si>
    <t>sumedh.mr@gmail.com</t>
  </si>
  <si>
    <t>Gurugram, Delhi / NCR, Mumbai Suburban, Navi Mumbai, Bengaluru, Mumbai (All Areas), Mumbai, Pune, Hyderabad, Remote</t>
  </si>
  <si>
    <t>Rs 4.65 Lakhs</t>
  </si>
  <si>
    <t>Cyber security Analyst@TCS | 2.7yrs Exp | DLP | EDR | Endpoint security | NAC | AWS Cloud| Cloud security | I am willing to work in cyber security and cloud security role.</t>
  </si>
  <si>
    <t>St Francis Institute of Technology, Mumbai</t>
  </si>
  <si>
    <t>DLP,EDR</t>
  </si>
  <si>
    <r>
      <rPr>
        <rFont val="Arial"/>
        <color rgb="FF1155CC"/>
        <sz val="8.0"/>
        <u/>
      </rPr>
      <t>View profile</t>
    </r>
  </si>
  <si>
    <t>giriboyinagangaiah</t>
  </si>
  <si>
    <t>giriboyinagangaiah@gmail.com</t>
  </si>
  <si>
    <t>Kolkata, Delhi / NCR, Hyderabad, Bengaluru, Chennai, Pune, Noida, Ahmedabad, Gurugram, Mumbai</t>
  </si>
  <si>
    <t>•SOC Analyst with 4 years of hands-on experience in SIEM alert monitoring, L1 triage, phishing investigations, malware indicator analysis, and suspicious login review.
 •Skilled in Azure Sentinel, Splunk, IBM QRadar, Microsoft Defender, CrowdStrike.</t>
  </si>
  <si>
    <t>soc analyst,threat hunting,vulnerability management</t>
  </si>
  <si>
    <r>
      <rPr>
        <rFont val="Arial"/>
        <color rgb="FF1155CC"/>
        <sz val="8.0"/>
        <u/>
      </rPr>
      <t>View profile</t>
    </r>
  </si>
  <si>
    <t>Sakshi Pandey Cybersecurity</t>
  </si>
  <si>
    <t>sakshipandeysp2112@gmail.com, sakshipandeysp2112@gmail.com</t>
  </si>
  <si>
    <t>Pune, Remote, Mumbai, Ahmedabad, Bengaluru, Hyderabad, Noida, Gurugram, Delhi / NCR, Chennai</t>
  </si>
  <si>
    <t>2 Year(s) 7 Month(s)</t>
  </si>
  <si>
    <t>Analyst</t>
  </si>
  <si>
    <t>Rs 3 Lakhs</t>
  </si>
  <si>
    <t>Cybersecurit Analyst with around3 years in Cybersecurity, skilled in Microsoft Sentinel,CortexXDR,IR,Threat Analysis, and tools like Azure, AWS, and Palo Alto Networks adept at monitoring &amp; triaging security alert in dynamic Security environments.</t>
  </si>
  <si>
    <t>mcbu chattArpur</t>
  </si>
  <si>
    <t>Rajiv Gandhi Proudyogiki Vishwavidyalaya (RGPV), Bhopal</t>
  </si>
  <si>
    <t>Damoh</t>
  </si>
  <si>
    <t>Azure Sentinel</t>
  </si>
  <si>
    <r>
      <rPr>
        <rFont val="Arial"/>
        <color rgb="FF1155CC"/>
        <sz val="8.0"/>
        <u/>
      </rPr>
      <t>View profile</t>
    </r>
  </si>
  <si>
    <t>Lakshmi Narasimha Dadi</t>
  </si>
  <si>
    <t>lakshminarasimhadadi@gmail.com</t>
  </si>
  <si>
    <t>Hyderabad, Remote, Bengaluru, Mumbai, Pune, Noida, Ahmedabad, Gurugram, Kolkata, Delhi / NCR</t>
  </si>
  <si>
    <t>LG Soft India</t>
  </si>
  <si>
    <t>SOC Analyst L1</t>
  </si>
  <si>
    <t>Rs 4 Lakhs</t>
  </si>
  <si>
    <t>SOC Analyst | 3+ Years | Immediate Joiner |Splunk | Microsoft Sentinel | Q Radar | Crowd Strike | Nist | Threat Analysis | Threat Hunting | Threat Intelligence | Security Operations | Malware Analysis | Log Analysis | Threat Detection |phishing.</t>
  </si>
  <si>
    <t>Nagarjuna University</t>
  </si>
  <si>
    <r>
      <rPr>
        <rFont val="Arial"/>
        <color rgb="FF1155CC"/>
        <sz val="8.0"/>
        <u/>
      </rPr>
      <t>View profile</t>
    </r>
  </si>
  <si>
    <t>Neeraj Chandra</t>
  </si>
  <si>
    <t>neerajchandra0209@gmail.com</t>
  </si>
  <si>
    <t>Navi Mumbai, Mumbai, Pune, Remote</t>
  </si>
  <si>
    <t>12 Year(s) 0 Month(s)</t>
  </si>
  <si>
    <t>Hireright LLC</t>
  </si>
  <si>
    <t>Rs 9 Lakhs</t>
  </si>
  <si>
    <t>Serving Notice Period | Cybersecurity Analyst / SOC Analyst / Operations Security Analyst / t | 4+ Yrs in SIEM (Splunk), Incident Response, EDR (MS Defender, CrowdStrike)| Microsoft Azure | Service Now</t>
  </si>
  <si>
    <t>Mumbai University</t>
  </si>
  <si>
    <t>Dombivli</t>
  </si>
  <si>
    <t>splunk, Crowdstrike, Microsoft Defender</t>
  </si>
  <si>
    <r>
      <rPr>
        <rFont val="Arial"/>
        <color rgb="FF1155CC"/>
        <sz val="8.0"/>
        <u/>
      </rPr>
      <t>View profile</t>
    </r>
  </si>
  <si>
    <t>Ekta Jadhav</t>
  </si>
  <si>
    <t>ektarathod8@gmail.com</t>
  </si>
  <si>
    <t>8275751745, +918275751745</t>
  </si>
  <si>
    <t>Hyderabad, Mumbai, Pune</t>
  </si>
  <si>
    <t>7 Year(s) 0 Month(s)</t>
  </si>
  <si>
    <t>Fiserv</t>
  </si>
  <si>
    <t>Senior Professional Engineer</t>
  </si>
  <si>
    <t>Rs 11 Lakhs</t>
  </si>
  <si>
    <t>Highly skilled and dedicated senior Cloud Security Engineer with extensive experience in maintaining and troubleshooting complex applications. Seeking a challenging role to utilize my technical expertise and leadership skills</t>
  </si>
  <si>
    <t>Babasaheb naik collage of engginering pusad</t>
  </si>
  <si>
    <t>gurgaon</t>
  </si>
  <si>
    <t>trend deep security</t>
  </si>
  <si>
    <r>
      <rPr>
        <rFont val="Arial"/>
        <color rgb="FF1155CC"/>
        <sz val="8.0"/>
        <u/>
      </rPr>
      <t>View profile</t>
    </r>
  </si>
  <si>
    <t>Shubham Kumar Taware</t>
  </si>
  <si>
    <t>shubham.taware4141@gmail.com, shubham.taware4141@gmail.com</t>
  </si>
  <si>
    <t>Pune, Mumbai, Remote, Kolkata, Ahmedabad, Noida, Gurugram, Hyderabad, Chennai, Bengaluru</t>
  </si>
  <si>
    <t>Gruve.ai</t>
  </si>
  <si>
    <t>Cyber Security Analyst | SOC Monitoring &amp; Threat Detection Expert</t>
  </si>
  <si>
    <t>SVPM's COE Malegaon</t>
  </si>
  <si>
    <t>IBM Qradar, Azur sentinal, defender, sumologic, WAF,Crowdstrike, jira</t>
  </si>
  <si>
    <r>
      <rPr>
        <rFont val="Arial"/>
        <color rgb="FF1155CC"/>
        <sz val="8.0"/>
        <u/>
      </rPr>
      <t>View profile</t>
    </r>
  </si>
  <si>
    <r>
      <rPr>
        <rFont val="Arial"/>
        <color rgb="FF1155CC"/>
        <sz val="8.0"/>
        <u/>
      </rPr>
      <t>View profile</t>
    </r>
  </si>
  <si>
    <t>Padmaja Jadhav</t>
  </si>
  <si>
    <t>pmjadhav2301@gmail.com</t>
  </si>
  <si>
    <t>Mumbai, Pune, Remote, Hyderabad, Noida, Ahmedabad, Kolkata, Chennai, Gurugram, Bengaluru</t>
  </si>
  <si>
    <t>3 Year(s) 7 Month(s)</t>
  </si>
  <si>
    <t>Infosys Ltd</t>
  </si>
  <si>
    <t>Senior Systems Engineer</t>
  </si>
  <si>
    <t>Immediate joiner | Security analyst | 3+ years experience | Qradar | Microsoft Sentinel | Microsoft Defender | SIEM | SOAR | Azure | SOC | Incident response | SOC L1 / L2 | Security Monitoring | Security Incident Handling | KQL</t>
  </si>
  <si>
    <t>Threat hunting, Security monitoring, incident response</t>
  </si>
  <si>
    <r>
      <rPr>
        <rFont val="Arial"/>
        <color rgb="FF1155CC"/>
        <sz val="8.0"/>
        <u/>
      </rPr>
      <t>View profile</t>
    </r>
  </si>
  <si>
    <t>Yashwant Shinde</t>
  </si>
  <si>
    <t>yashshinde2149@gmail.com</t>
  </si>
  <si>
    <t>Pune, Hyderabad, Bengaluru, Chennai, New Delhi, Kolkata, Ahmedabad, Mumbai, Gurugram, Noida</t>
  </si>
  <si>
    <t>Rs 4.05 Lakhs</t>
  </si>
  <si>
    <t>SOC Analyst with experience in threat detection, alert triage, and incident investigation using SIEM and EDR tools. Skilled in validating security alerts, analyzing suspicious activity, and applying the MITRE ATT&amp;CK framework to improve security.</t>
  </si>
  <si>
    <t>Shri Guru Gobind Singhji Institute of Engineering and Technology (SGGSIET),Nanded</t>
  </si>
  <si>
    <t>Ambajogai</t>
  </si>
  <si>
    <t>Splunk, ArcSight, Microsoft defender, Microsoft Azure, phishing analysis, malware analysis</t>
  </si>
  <si>
    <r>
      <rPr>
        <rFont val="Arial"/>
        <color rgb="FF1155CC"/>
        <sz val="8.0"/>
        <u/>
      </rPr>
      <t>View profile</t>
    </r>
  </si>
  <si>
    <t>Sohail Shaikh</t>
  </si>
  <si>
    <t>shaikh10sohail@gmail.com</t>
  </si>
  <si>
    <t>7066279657, +7066279657</t>
  </si>
  <si>
    <t>Gurugram, Mumbai (All Areas), Hyderabad, Noida, Delhi / NCR, Bengaluru, Mumbai, Pune</t>
  </si>
  <si>
    <t>Concentrix</t>
  </si>
  <si>
    <t>Technical Support Engineer</t>
  </si>
  <si>
    <t>I am Post graduated from MCA and Python certified and learned DevOps tools like GitHub, Linux, Jenkins, Microsoft Azure and Docker.
 Technical Support Analyst | 3.8+ Years | Active Directory | Azure | Windows Administration | Infrastructure Support</t>
  </si>
  <si>
    <t>Abeda Inamdar Senior College, Pune</t>
  </si>
  <si>
    <t>Active Directorty &amp; Technical Support</t>
  </si>
  <si>
    <t>None</t>
  </si>
  <si>
    <r>
      <rPr>
        <rFont val="Arial"/>
        <color rgb="FF1155CC"/>
        <sz val="8.0"/>
        <u/>
      </rPr>
      <t>View profile</t>
    </r>
  </si>
  <si>
    <t>Immediate Joiner GopalBanuvalli</t>
  </si>
  <si>
    <t>sb801339@gmail.com, sb801339@gmail.com</t>
  </si>
  <si>
    <t>Noida, Navi Mumbai, Chennai, Mumbai, Mumbai (All Areas), Bengaluru, Hyderabad, Pune</t>
  </si>
  <si>
    <t>3 Year(s) 10 Month(s)</t>
  </si>
  <si>
    <t>Qodequay Technologies</t>
  </si>
  <si>
    <t>Rs 10 Lakhs</t>
  </si>
  <si>
    <t>Immediate joiner | SOC Analyst with 3+ years' experience in IBM QRadar, Microsoft Sentinel, Splunk — threat hunting, incident response, IOC analysis, MITRE ATT&amp;CK. SC-900, AZ-900, ISC2 CC certified. Immediate joiner.</t>
  </si>
  <si>
    <t>Jain Institute of Technology, Davanagere</t>
  </si>
  <si>
    <t>Doddabathi</t>
  </si>
  <si>
    <t>Trend micro, Microsoft office 365, Sophos, SIEM, SOAR, SOC, Threat intelligence</t>
  </si>
  <si>
    <r>
      <rPr>
        <rFont val="Arial"/>
        <color rgb="FF1155CC"/>
        <sz val="8.0"/>
        <u/>
      </rPr>
      <t>View profile</t>
    </r>
  </si>
  <si>
    <t>Aashish Singh</t>
  </si>
  <si>
    <t>aashish.singh7644@gmail.com</t>
  </si>
  <si>
    <t>Delhi / NCR, Remote, Bengaluru, Pune, Hyderabad, Chennai, Mumbai, United Kingdom (UK), Dubai</t>
  </si>
  <si>
    <t>2 Year(s) 3 Month(s)</t>
  </si>
  <si>
    <t>CubeLogic Software</t>
  </si>
  <si>
    <t>Rs 6.72 Lakhs</t>
  </si>
  <si>
    <t>Proficient in monitoring and securing enterprise assets against potential threats through real-time analysis and incident response. Skilled in leveraging advanced SaaS-based tools such as Trend Micro Vision One, XDR, SCOM, and Wazuh for threat detect</t>
  </si>
  <si>
    <t>Ramgovind Institute of Technology, Koderma</t>
  </si>
  <si>
    <t>Patna</t>
  </si>
  <si>
    <t>mitre framework, Incident handling management</t>
  </si>
  <si>
    <r>
      <rPr>
        <rFont val="Arial"/>
        <color rgb="FF1155CC"/>
        <sz val="8.0"/>
        <u/>
      </rPr>
      <t>View profile</t>
    </r>
  </si>
  <si>
    <t>Rochil</t>
  </si>
  <si>
    <t>rochil29122002@gmail.com</t>
  </si>
  <si>
    <t>Chennai, Mumbai, Jaipur, Noida, Delhi / NCR, Ahmedabad, Hyderabad, Pune, Bengaluru</t>
  </si>
  <si>
    <t>Microland</t>
  </si>
  <si>
    <t>Senior Network &amp; Security Engineer</t>
  </si>
  <si>
    <t>Senior Network &amp; Security Engineer Specialized in SIEM,Palo Alto &amp; F5 BIG-IP</t>
  </si>
  <si>
    <t>New Horizon College of Engineering, Bangalore</t>
  </si>
  <si>
    <t>SIEM, SOC, AD, Incident management</t>
  </si>
  <si>
    <r>
      <rPr>
        <rFont val="Arial"/>
        <color rgb="FF1155CC"/>
        <sz val="8.0"/>
        <u/>
      </rPr>
      <t>View profile</t>
    </r>
  </si>
  <si>
    <t>Ajay Dipak Mohite</t>
  </si>
  <si>
    <t>ajaymohite48908@gmail.com</t>
  </si>
  <si>
    <t>Mumbai (All Areas), Navi Mumbai, Mumbai</t>
  </si>
  <si>
    <t>HITACHI SYSTEMS INDIA PRIVATE LIMITED</t>
  </si>
  <si>
    <t>Soc analyst,Endpoint Security Engineer, Cybersecurity Engineer</t>
  </si>
  <si>
    <t>Soc analyst,Antivirus Security Engineer | 3.5 Years Exp in Antivirus &amp; Endpoint Protection | Trellix | SentinelOne | EDR Specialist.</t>
  </si>
  <si>
    <t>Bio-Chemistry</t>
  </si>
  <si>
    <t>Incidence response, encryption Endpoint Security, server security</t>
  </si>
  <si>
    <r>
      <rPr>
        <rFont val="Arial"/>
        <color rgb="FF1155CC"/>
        <sz val="8.0"/>
        <u/>
      </rPr>
      <t>View profile</t>
    </r>
  </si>
  <si>
    <t>Arya Vikram Shah</t>
  </si>
  <si>
    <t>aryashahh15@gmail.com</t>
  </si>
  <si>
    <t>Wysetek Systems Technologists</t>
  </si>
  <si>
    <t>Technical Specialist</t>
  </si>
  <si>
    <t>Job seeker with B.Sc currently living in Mumbai</t>
  </si>
  <si>
    <t>Cloud,Trend,firewall,load balancing</t>
  </si>
  <si>
    <r>
      <rPr>
        <rFont val="Arial"/>
        <color rgb="FF1155CC"/>
        <sz val="8.0"/>
        <u/>
      </rPr>
      <t>View profile</t>
    </r>
  </si>
  <si>
    <t>Kuladeep Makenayne Bestha</t>
  </si>
  <si>
    <t>kuladeepmb@gmail.com</t>
  </si>
  <si>
    <t>Bengaluru, Chennai, Ahmedabad, Delhi / NCR, Pune, Mumbai, Remote, Kolkata, Hyderabad, Gurugram</t>
  </si>
  <si>
    <t>Tech Mahindra</t>
  </si>
  <si>
    <t>A dedicated cybersecurity professional with 3+ years of experience in SOC Monitoring, 
 Incident Response, and Information Security across various platforms. Seeking to contribute 
 my expertise in SOC operations, cybersecurity incident management.</t>
  </si>
  <si>
    <t>sriv</t>
  </si>
  <si>
    <r>
      <rPr>
        <rFont val="Arial"/>
        <color rgb="FF1155CC"/>
        <sz val="8.0"/>
        <u/>
      </rPr>
      <t>View profile</t>
    </r>
  </si>
  <si>
    <t>Malluvalasa Rakesh</t>
  </si>
  <si>
    <t>rakeshmalluvalasa272@gmail.com</t>
  </si>
  <si>
    <t>Remote, Bengaluru, Mumbai, Pune, Chennai, Hyderabad, Gurugram, Noida, Ahmedabad, Delhi / NCR</t>
  </si>
  <si>
    <t>Yalamanchili Solutions For Payment Pvt Ltd (FinTech)</t>
  </si>
  <si>
    <t>Rs 0 Lakhs</t>
  </si>
  <si>
    <t>Cybersecurity professional skilled in SOC, EDR, SIEM, DLP, IAM, Cloud Security, VAPT, Threat Hunting, Incident Response, Malware Analysis, Vulnerability Management, CIS Hardening, and Security Automation</t>
  </si>
  <si>
    <t>Mrs AVN Degree College, Visakhapatnam</t>
  </si>
  <si>
    <t>Vishakapatnam</t>
  </si>
  <si>
    <t>EDR, Threat Intelligence,Endpoint security, Vulnerability Management,</t>
  </si>
  <si>
    <t>ni</t>
  </si>
  <si>
    <t>no</t>
  </si>
  <si>
    <r>
      <rPr>
        <rFont val="Arial"/>
        <color rgb="FF1155CC"/>
        <sz val="8.0"/>
        <u/>
      </rPr>
      <t>View profile</t>
    </r>
  </si>
  <si>
    <t>Rishab</t>
  </si>
  <si>
    <t>rishavraj11606121@gmail.com</t>
  </si>
  <si>
    <t>Chandigarh, Pune, Ahmedabad, Remote, Delhi / NCR, Kolkata, Noida, Gurugram, Bengaluru, Mumbai</t>
  </si>
  <si>
    <t>CubeLogic Software private Limited</t>
  </si>
  <si>
    <t>SOC Analyst 1</t>
  </si>
  <si>
    <t>Soc Analyst with B.Tech/B.E. - Bachelor of Technology / Engineering in Mechanical Engineering skilled in Networking Protocols, Active Directory, Technical Analysis, Service Desk, Group Policy</t>
  </si>
  <si>
    <t>Lovely Professional University, Jalandhar</t>
  </si>
  <si>
    <t>Mitre attack framework, incident analysis and response</t>
  </si>
  <si>
    <r>
      <rPr>
        <rFont val="Arial"/>
        <color rgb="FF1155CC"/>
        <sz val="8.0"/>
        <u/>
      </rPr>
      <t>View profile</t>
    </r>
  </si>
  <si>
    <t>Naveen Chilakapati</t>
  </si>
  <si>
    <t>chilakapatinaveen86@gmail.com</t>
  </si>
  <si>
    <t>Hyderabad, Bengaluru, Remote, Chennai</t>
  </si>
  <si>
    <t>2 Year(s) 11 Month(s)</t>
  </si>
  <si>
    <t>Rs 5.10 Lakhs</t>
  </si>
  <si>
    <t>Security Analyst with overall 2.11 years of experience in security operations including Incident management, Endpoint security and logs analysis through SIEM.</t>
  </si>
  <si>
    <t>Sri MSR Degree College for Women, Kavali</t>
  </si>
  <si>
    <t>SIEM,SOC</t>
  </si>
  <si>
    <r>
      <rPr>
        <rFont val="Arial"/>
        <color rgb="FF1155CC"/>
        <sz val="8.0"/>
        <u/>
      </rPr>
      <t>View profile</t>
    </r>
  </si>
</sst>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dd-mmm-yyyy"/>
    <numFmt numFmtId="165" formatCode="d-mmm-yyyy"/>
    <numFmt numFmtId="166" formatCode="d-mmmm-yyyy"/>
    <numFmt numFmtId="167" formatCode="dd-mmmm-yyyy"/>
  </numFmts>
  <fonts count="6">
    <font>
      <sz val="10.0"/>
      <color rgb="FF000000"/>
      <name val="Arial"/>
      <scheme val="minor"/>
    </font>
    <font>
      <sz val="8.0"/>
      <color rgb="FF000000"/>
      <name val="Arial"/>
    </font>
    <font>
      <color theme="1"/>
      <name val="Arial"/>
      <scheme val="minor"/>
    </font>
    <font>
      <u/>
      <sz val="8.0"/>
      <color rgb="FF000000"/>
      <name val="Arial"/>
    </font>
    <font>
      <u/>
      <color rgb="FF0000FF"/>
    </font>
    <font>
      <u/>
      <sz val="8.0"/>
      <color rgb="FF0000FF"/>
      <name val="Arial"/>
    </font>
  </fonts>
  <fills count="7">
    <fill>
      <patternFill patternType="none"/>
    </fill>
    <fill>
      <patternFill patternType="lightGray"/>
    </fill>
    <fill>
      <patternFill patternType="solid">
        <fgColor rgb="FFC9DAF8"/>
        <bgColor rgb="FFC9DAF8"/>
      </patternFill>
    </fill>
    <fill>
      <patternFill patternType="solid">
        <fgColor rgb="FFFFFFFF"/>
        <bgColor rgb="FFFFFFFF"/>
      </patternFill>
    </fill>
    <fill>
      <patternFill patternType="solid">
        <fgColor rgb="FFFFF2CC"/>
        <bgColor rgb="FFFFF2CC"/>
      </patternFill>
    </fill>
    <fill>
      <patternFill patternType="solid">
        <fgColor rgb="FFFFFF00"/>
        <bgColor rgb="FFFFFF00"/>
      </patternFill>
    </fill>
    <fill>
      <patternFill patternType="solid">
        <fgColor rgb="FFFF9900"/>
        <bgColor rgb="FFFF9900"/>
      </patternFill>
    </fill>
  </fills>
  <borders count="2">
    <border/>
    <border>
      <left style="thin">
        <color rgb="FF9A9A9A"/>
      </left>
      <right style="thin">
        <color rgb="FF9A9A9A"/>
      </right>
      <top style="thin">
        <color rgb="FF9A9A9A"/>
      </top>
      <bottom style="thin">
        <color rgb="FF9A9A9A"/>
      </bottom>
    </border>
  </borders>
  <cellStyleXfs count="1">
    <xf borderId="0" fillId="0" fontId="0" numFmtId="0" applyAlignment="1" applyFont="1"/>
  </cellStyleXfs>
  <cellXfs count="21">
    <xf borderId="0" fillId="0" fontId="0" numFmtId="0" xfId="0" applyAlignment="1" applyFont="1">
      <alignment readingOrder="0" shrinkToFit="0" vertical="bottom" wrapText="0"/>
    </xf>
    <xf borderId="1" fillId="2" fontId="1" numFmtId="0" xfId="0" applyAlignment="1" applyBorder="1" applyFill="1" applyFont="1">
      <alignment horizontal="left" readingOrder="0" shrinkToFit="0" vertical="center" wrapText="1"/>
    </xf>
    <xf borderId="1" fillId="3" fontId="1" numFmtId="0" xfId="0" applyAlignment="1" applyBorder="1" applyFill="1" applyFont="1">
      <alignment horizontal="left" readingOrder="0" vertical="center"/>
    </xf>
    <xf borderId="1" fillId="3" fontId="1" numFmtId="164" xfId="0" applyAlignment="1" applyBorder="1" applyFill="1" applyFont="1" applyNumberFormat="1">
      <alignment horizontal="left" readingOrder="0" vertical="center"/>
    </xf>
    <xf borderId="0" fillId="0" fontId="2" numFmtId="0" xfId="0" applyFont="1"/>
    <xf borderId="1" fillId="3" fontId="3" numFmtId="0" xfId="0" applyAlignment="1" applyBorder="1" applyFill="1" applyFont="1">
      <alignment horizontal="left" readingOrder="0" vertical="center"/>
    </xf>
    <xf borderId="0" fillId="0" fontId="2" numFmtId="164" xfId="0" applyFont="1" applyNumberFormat="1"/>
    <xf borderId="0" fillId="0" fontId="4" numFmtId="0" xfId="0" applyFont="1"/>
    <xf borderId="1" fillId="0" fontId="5" numFmtId="0" xfId="0" applyAlignment="1" applyBorder="1" applyFont="1">
      <alignment horizontal="left" readingOrder="0" vertical="center"/>
    </xf>
    <xf borderId="1" fillId="3" fontId="1" numFmtId="0" xfId="0" applyAlignment="1" applyBorder="1" applyFill="1" applyFont="1">
      <alignment horizontal="left" readingOrder="0" shrinkToFit="0" vertical="center" wrapText="1"/>
    </xf>
    <xf borderId="1" fillId="4" fontId="1" numFmtId="0" xfId="0" applyAlignment="1" applyBorder="1" applyFill="1" applyFont="1">
      <alignment horizontal="left" readingOrder="0" vertical="center"/>
    </xf>
    <xf borderId="1" fillId="3" fontId="1" numFmtId="165" xfId="0" applyAlignment="1" applyBorder="1" applyFill="1" applyFont="1" applyNumberFormat="1">
      <alignment horizontal="left" readingOrder="0" vertical="center"/>
    </xf>
    <xf borderId="0" fillId="0" fontId="2" numFmtId="165" xfId="0" applyFont="1" applyNumberFormat="1"/>
    <xf borderId="1" fillId="3" fontId="2" numFmtId="0" xfId="0" applyAlignment="1" applyBorder="1" applyFill="1" applyFont="1">
      <alignment horizontal="left" readingOrder="0" vertical="center"/>
    </xf>
    <xf borderId="1" fillId="3" fontId="1" numFmtId="166" xfId="0" applyAlignment="1" applyBorder="1" applyFill="1" applyFont="1" applyNumberFormat="1">
      <alignment horizontal="left" readingOrder="0" vertical="center"/>
    </xf>
    <xf borderId="1" fillId="5" fontId="1" numFmtId="0" xfId="0" applyAlignment="1" applyBorder="1" applyFill="1" applyFont="1">
      <alignment horizontal="left" readingOrder="0" vertical="center"/>
    </xf>
    <xf borderId="0" fillId="0" fontId="2" numFmtId="166" xfId="0" applyFont="1" applyNumberFormat="1"/>
    <xf borderId="1" fillId="3" fontId="1" numFmtId="167" xfId="0" applyAlignment="1" applyBorder="1" applyFill="1" applyFont="1" applyNumberFormat="1">
      <alignment horizontal="left" readingOrder="0" vertical="center"/>
    </xf>
    <xf borderId="0" fillId="0" fontId="2" numFmtId="167" xfId="0" applyFont="1" applyNumberFormat="1"/>
    <xf borderId="1" fillId="6" fontId="1" numFmtId="0" xfId="0" applyAlignment="1" applyBorder="1" applyFill="1" applyFont="1">
      <alignment horizontal="left" readingOrder="0" vertical="center"/>
    </xf>
    <xf borderId="0" fillId="0" fontId="2"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hiring.naukri.com/hiring/020926020192/apply/6a98ebe4daa5997a981d3982?src=excelDownload" TargetMode="External"/><Relationship Id="rId42" Type="http://schemas.openxmlformats.org/officeDocument/2006/relationships/hyperlink" Target="http://b.sc" TargetMode="External"/><Relationship Id="rId41" Type="http://schemas.openxmlformats.org/officeDocument/2006/relationships/hyperlink" Target="https://hiring.naukri.com/hiring/020926020192/apply/6a98ea9ddaa5997a981d180a?src=excelDownload" TargetMode="External"/><Relationship Id="rId44" Type="http://schemas.openxmlformats.org/officeDocument/2006/relationships/hyperlink" Target="https://hiring.naukri.com/hiring/020926020192/apply/6a98debbec7530240d6f1a4a?src=excelDownload" TargetMode="External"/><Relationship Id="rId43" Type="http://schemas.openxmlformats.org/officeDocument/2006/relationships/hyperlink" Target="https://hiring.naukri.com/hiring/020926020192/apply/6a98e1f7ec7530240d6f4d0d?src=excelDownload" TargetMode="External"/><Relationship Id="rId46" Type="http://schemas.openxmlformats.org/officeDocument/2006/relationships/hyperlink" Target="https://hiring.naukri.com/hiring/020926020192/apply/6a98dc5bec7530240d6ef733?src=excelDownload" TargetMode="External"/><Relationship Id="rId45" Type="http://schemas.openxmlformats.org/officeDocument/2006/relationships/hyperlink" Target="https://hiring.naukri.com/hiring/020926020192/apply/6a98dd26b41cd151e3a23906?src=excelDownload" TargetMode="External"/><Relationship Id="rId80" Type="http://schemas.openxmlformats.org/officeDocument/2006/relationships/hyperlink" Target="http://b.sc" TargetMode="External"/><Relationship Id="rId82" Type="http://schemas.openxmlformats.org/officeDocument/2006/relationships/drawing" Target="../drawings/drawing1.xml"/><Relationship Id="rId81" Type="http://schemas.openxmlformats.org/officeDocument/2006/relationships/hyperlink" Target="https://hiring.naukri.com/hiring/020926020192/apply/6a97e08edaa5997a980f86d2?src=excelDownload" TargetMode="External"/><Relationship Id="rId1" Type="http://schemas.openxmlformats.org/officeDocument/2006/relationships/hyperlink" Target="http://b.sc" TargetMode="External"/><Relationship Id="rId2" Type="http://schemas.openxmlformats.org/officeDocument/2006/relationships/hyperlink" Target="https://hiring.naukri.com/hiring/020926020192/apply/6a991663b41cd151e3a82a80?src=excelDownload" TargetMode="External"/><Relationship Id="rId3" Type="http://schemas.openxmlformats.org/officeDocument/2006/relationships/hyperlink" Target="https://hiring.naukri.com/hiring/020926020192/apply/6a9914eff24720048c309c61?src=excelDownload" TargetMode="External"/><Relationship Id="rId4" Type="http://schemas.openxmlformats.org/officeDocument/2006/relationships/hyperlink" Target="https://hiring.naukri.com/hiring/020926020192/apply/6a9913b8f24720048c307655?src=excelDownload" TargetMode="External"/><Relationship Id="rId9" Type="http://schemas.openxmlformats.org/officeDocument/2006/relationships/hyperlink" Target="http://b.sc" TargetMode="External"/><Relationship Id="rId48" Type="http://schemas.openxmlformats.org/officeDocument/2006/relationships/hyperlink" Target="https://hiring.naukri.com/hiring/020926020192/apply/6a989e13daa5997a981b1629?src=excelDownload" TargetMode="External"/><Relationship Id="rId47" Type="http://schemas.openxmlformats.org/officeDocument/2006/relationships/hyperlink" Target="https://hiring.naukri.com/hiring/020926020192/apply/6a98c761b41cd151e3a17576?src=excelDownload" TargetMode="External"/><Relationship Id="rId49" Type="http://schemas.openxmlformats.org/officeDocument/2006/relationships/hyperlink" Target="https://hiring.naukri.com/hiring/020926020192/apply/6a9878f7daa5997a981a9877?src=excelDownload" TargetMode="External"/><Relationship Id="rId5" Type="http://schemas.openxmlformats.org/officeDocument/2006/relationships/hyperlink" Target="https://hiring.naukri.com/hiring/020926020192/apply/6a990facb41cd151e3a75cad?src=excelDownload" TargetMode="External"/><Relationship Id="rId6" Type="http://schemas.openxmlformats.org/officeDocument/2006/relationships/hyperlink" Target="https://hiring.naukri.com/hiring/020926020192/apply/6a990e2ab41cd151e3a72f1d?src=excelDownload" TargetMode="External"/><Relationship Id="rId7" Type="http://schemas.openxmlformats.org/officeDocument/2006/relationships/hyperlink" Target="https://hiring.naukri.com/hiring/020926020192/apply/6a990cc7f24720048c2f9c62?src=excelDownload" TargetMode="External"/><Relationship Id="rId8" Type="http://schemas.openxmlformats.org/officeDocument/2006/relationships/hyperlink" Target="https://hiring.naukri.com/hiring/020926020192/apply/6a990b99b41cd151e3a6e3a4?src=excelDownload" TargetMode="External"/><Relationship Id="rId73" Type="http://schemas.openxmlformats.org/officeDocument/2006/relationships/hyperlink" Target="http://b.sc" TargetMode="External"/><Relationship Id="rId72" Type="http://schemas.openxmlformats.org/officeDocument/2006/relationships/hyperlink" Target="https://hiring.naukri.com/hiring/020926020192/apply/6a97e1a9daa5997a980fa682?src=excelDownload" TargetMode="External"/><Relationship Id="rId31" Type="http://schemas.openxmlformats.org/officeDocument/2006/relationships/hyperlink" Target="https://hiring.naukri.com/hiring/020926020192/apply/6a98f45cb41cd151e3a44e4d?src=excelDownload" TargetMode="External"/><Relationship Id="rId75" Type="http://schemas.openxmlformats.org/officeDocument/2006/relationships/hyperlink" Target="http://b.sc" TargetMode="External"/><Relationship Id="rId30" Type="http://schemas.openxmlformats.org/officeDocument/2006/relationships/hyperlink" Target="https://hiring.naukri.com/hiring/020926020192/apply/6a98f53eb41cd151e3a4698f?src=excelDownload" TargetMode="External"/><Relationship Id="rId74" Type="http://schemas.openxmlformats.org/officeDocument/2006/relationships/hyperlink" Target="https://hiring.naukri.com/hiring/020926020192/apply/6a97e19602f13a09e43e6b58?src=excelDownload" TargetMode="External"/><Relationship Id="rId33" Type="http://schemas.openxmlformats.org/officeDocument/2006/relationships/hyperlink" Target="http://b.sc" TargetMode="External"/><Relationship Id="rId77" Type="http://schemas.openxmlformats.org/officeDocument/2006/relationships/hyperlink" Target="http://b.sc" TargetMode="External"/><Relationship Id="rId32" Type="http://schemas.openxmlformats.org/officeDocument/2006/relationships/hyperlink" Target="https://hiring.naukri.com/hiring/020926020192/apply/6a98f18bb41cd151e3a3fa2d?src=excelDownload" TargetMode="External"/><Relationship Id="rId76" Type="http://schemas.openxmlformats.org/officeDocument/2006/relationships/hyperlink" Target="https://hiring.naukri.com/hiring/020926020192/apply/6a97e0faec7530240d6247fc?src=excelDownload" TargetMode="External"/><Relationship Id="rId35" Type="http://schemas.openxmlformats.org/officeDocument/2006/relationships/hyperlink" Target="http://b.sc" TargetMode="External"/><Relationship Id="rId79" Type="http://schemas.openxmlformats.org/officeDocument/2006/relationships/hyperlink" Target="https://hiring.naukri.com/hiring/020926020192/apply/6a97e0ae02f13a09e43e524d?src=excelDownload" TargetMode="External"/><Relationship Id="rId34" Type="http://schemas.openxmlformats.org/officeDocument/2006/relationships/hyperlink" Target="https://hiring.naukri.com/hiring/020926020192/apply/6a98ef56f24720048c2c4aab?src=excelDownload" TargetMode="External"/><Relationship Id="rId78" Type="http://schemas.openxmlformats.org/officeDocument/2006/relationships/hyperlink" Target="https://hiring.naukri.com/hiring/020926020192/apply/6a97e0dc02f13a09e43e57cb?src=excelDownload" TargetMode="External"/><Relationship Id="rId71" Type="http://schemas.openxmlformats.org/officeDocument/2006/relationships/hyperlink" Target="http://b.sc" TargetMode="External"/><Relationship Id="rId70" Type="http://schemas.openxmlformats.org/officeDocument/2006/relationships/hyperlink" Target="https://hiring.naukri.com/hiring/020926020192/apply/6a97e21d02f13a09e43e78fb?src=excelDownload" TargetMode="External"/><Relationship Id="rId37" Type="http://schemas.openxmlformats.org/officeDocument/2006/relationships/hyperlink" Target="https://hiring.naukri.com/hiring/020926020192/apply/6a98ef31f24720048c2c4608?src=excelDownload" TargetMode="External"/><Relationship Id="rId36" Type="http://schemas.openxmlformats.org/officeDocument/2006/relationships/hyperlink" Target="https://hiring.naukri.com/hiring/020926020192/apply/6a98ef52ec7530240d7080b1?src=excelDownload" TargetMode="External"/><Relationship Id="rId39" Type="http://schemas.openxmlformats.org/officeDocument/2006/relationships/hyperlink" Target="http://b.sc" TargetMode="External"/><Relationship Id="rId38" Type="http://schemas.openxmlformats.org/officeDocument/2006/relationships/hyperlink" Target="https://hiring.naukri.com/hiring/020926020192/apply/6a98ee8eb41cd151e3a39d3a?src=excelDownload" TargetMode="External"/><Relationship Id="rId62" Type="http://schemas.openxmlformats.org/officeDocument/2006/relationships/hyperlink" Target="https://hiring.naukri.com/hiring/020926020192/apply/6a97e94df24720048c1f00d4?src=excelDownload" TargetMode="External"/><Relationship Id="rId61" Type="http://schemas.openxmlformats.org/officeDocument/2006/relationships/hyperlink" Target="http://gruve.ai" TargetMode="External"/><Relationship Id="rId20" Type="http://schemas.openxmlformats.org/officeDocument/2006/relationships/hyperlink" Target="https://hiring.naukri.com/hiring/020926020192/apply/6a98f78dec7530240d71804d?src=excelDownload" TargetMode="External"/><Relationship Id="rId64" Type="http://schemas.openxmlformats.org/officeDocument/2006/relationships/hyperlink" Target="https://hiring.naukri.com/hiring/020926020192/apply/6a97e94df24720048c1f00de?src=excelDownload" TargetMode="External"/><Relationship Id="rId63" Type="http://schemas.openxmlformats.org/officeDocument/2006/relationships/hyperlink" Target="http://gruve.ai" TargetMode="External"/><Relationship Id="rId22" Type="http://schemas.openxmlformats.org/officeDocument/2006/relationships/hyperlink" Target="https://hiring.naukri.com/hiring/020926020192/apply/6a98f77bdaa5997a981e9f5f?src=excelDownload" TargetMode="External"/><Relationship Id="rId66" Type="http://schemas.openxmlformats.org/officeDocument/2006/relationships/hyperlink" Target="https://hiring.naukri.com/hiring/020926020192/apply/6a97e717daa5997a98102692?src=excelDownload" TargetMode="External"/><Relationship Id="rId21" Type="http://schemas.openxmlformats.org/officeDocument/2006/relationships/hyperlink" Target="http://b.sc" TargetMode="External"/><Relationship Id="rId65" Type="http://schemas.openxmlformats.org/officeDocument/2006/relationships/hyperlink" Target="https://hiring.naukri.com/hiring/020926020192/apply/6a97e807daa5997a98103b95?src=excelDownload" TargetMode="External"/><Relationship Id="rId24" Type="http://schemas.openxmlformats.org/officeDocument/2006/relationships/hyperlink" Target="https://hiring.naukri.com/hiring/020926020192/apply/6a98f70cf24720048c2d3afa?src=excelDownload" TargetMode="External"/><Relationship Id="rId68" Type="http://schemas.openxmlformats.org/officeDocument/2006/relationships/hyperlink" Target="https://hiring.naukri.com/hiring/020926020192/apply/6a97e309daa5997a980fc830?src=excelDownload" TargetMode="External"/><Relationship Id="rId23" Type="http://schemas.openxmlformats.org/officeDocument/2006/relationships/hyperlink" Target="http://b.sc" TargetMode="External"/><Relationship Id="rId67" Type="http://schemas.openxmlformats.org/officeDocument/2006/relationships/hyperlink" Target="https://hiring.naukri.com/hiring/020926020192/apply/6a97e3a9f24720048c1e8066?src=excelDownload" TargetMode="External"/><Relationship Id="rId60" Type="http://schemas.openxmlformats.org/officeDocument/2006/relationships/hyperlink" Target="https://hiring.naukri.com/hiring/020926020192/apply/6a97e96402f13a09e43f1e4a?src=excelDownload" TargetMode="External"/><Relationship Id="rId26" Type="http://schemas.openxmlformats.org/officeDocument/2006/relationships/hyperlink" Target="http://b.sc" TargetMode="External"/><Relationship Id="rId25" Type="http://schemas.openxmlformats.org/officeDocument/2006/relationships/hyperlink" Target="https://hiring.naukri.com/hiring/020926020192/apply/6a98f6abdaa5997a981e848a?src=excelDownload" TargetMode="External"/><Relationship Id="rId69" Type="http://schemas.openxmlformats.org/officeDocument/2006/relationships/hyperlink" Target="https://hiring.naukri.com/hiring/020926020192/apply/6a97e2cbdaa5997a980fc245?src=excelDownload" TargetMode="External"/><Relationship Id="rId28" Type="http://schemas.openxmlformats.org/officeDocument/2006/relationships/hyperlink" Target="https://hiring.naukri.com/hiring/020926020192/apply/6a98f606ec7530240d714fd5?src=excelDownload" TargetMode="External"/><Relationship Id="rId27" Type="http://schemas.openxmlformats.org/officeDocument/2006/relationships/hyperlink" Target="https://hiring.naukri.com/hiring/020926020192/apply/6a98f60dec7530240d7150a2?src=excelDownload" TargetMode="External"/><Relationship Id="rId29" Type="http://schemas.openxmlformats.org/officeDocument/2006/relationships/hyperlink" Target="http://b.sc" TargetMode="External"/><Relationship Id="rId51" Type="http://schemas.openxmlformats.org/officeDocument/2006/relationships/hyperlink" Target="https://hiring.naukri.com/hiring/020926020192/apply/6a98702bdaa5997a981a5319?src=excelDownload" TargetMode="External"/><Relationship Id="rId50" Type="http://schemas.openxmlformats.org/officeDocument/2006/relationships/hyperlink" Target="https://hiring.naukri.com/hiring/020926020192/apply/6a987350ec7530240d6d4333?src=excelDownload" TargetMode="External"/><Relationship Id="rId53" Type="http://schemas.openxmlformats.org/officeDocument/2006/relationships/hyperlink" Target="https://hiring.naukri.com/hiring/020926020192/apply/6a981a8a02f13a09e443987e?src=excelDownload" TargetMode="External"/><Relationship Id="rId52" Type="http://schemas.openxmlformats.org/officeDocument/2006/relationships/hyperlink" Target="https://hiring.naukri.com/hiring/020926020192/apply/6a986a4cb41cd151e3a01f09?src=excelDownload" TargetMode="External"/><Relationship Id="rId11" Type="http://schemas.openxmlformats.org/officeDocument/2006/relationships/hyperlink" Target="https://hiring.naukri.com/hiring/020926020192/apply/6a990a06daa5997a9820a5e6?src=excelDownload" TargetMode="External"/><Relationship Id="rId55" Type="http://schemas.openxmlformats.org/officeDocument/2006/relationships/hyperlink" Target="http://b.sc" TargetMode="External"/><Relationship Id="rId10" Type="http://schemas.openxmlformats.org/officeDocument/2006/relationships/hyperlink" Target="https://hiring.naukri.com/hiring/020926020192/apply/6a990a28ec7530240d737f2c?src=excelDownload" TargetMode="External"/><Relationship Id="rId54" Type="http://schemas.openxmlformats.org/officeDocument/2006/relationships/hyperlink" Target="https://hiring.naukri.com/hiring/020926020192/apply/6a980c0cf24720048c223cb8?src=excelDownload" TargetMode="External"/><Relationship Id="rId13" Type="http://schemas.openxmlformats.org/officeDocument/2006/relationships/hyperlink" Target="http://b.sc" TargetMode="External"/><Relationship Id="rId57" Type="http://schemas.openxmlformats.org/officeDocument/2006/relationships/hyperlink" Target="https://hiring.naukri.com/hiring/020926020192/apply/6a97eda5f24720048c1f6635?src=excelDownload" TargetMode="External"/><Relationship Id="rId12" Type="http://schemas.openxmlformats.org/officeDocument/2006/relationships/hyperlink" Target="https://hiring.naukri.com/hiring/020926020192/apply/6a99015fdaa5997a981fc462?src=excelDownload" TargetMode="External"/><Relationship Id="rId56" Type="http://schemas.openxmlformats.org/officeDocument/2006/relationships/hyperlink" Target="https://hiring.naukri.com/hiring/020926020192/apply/6a97facff24720048c208e7e?src=excelDownload" TargetMode="External"/><Relationship Id="rId15" Type="http://schemas.openxmlformats.org/officeDocument/2006/relationships/hyperlink" Target="http://b.sc" TargetMode="External"/><Relationship Id="rId59" Type="http://schemas.openxmlformats.org/officeDocument/2006/relationships/hyperlink" Target="https://hiring.naukri.com/hiring/020926020192/apply/6a97eb0002f13a09e43f43d3?src=excelDownload" TargetMode="External"/><Relationship Id="rId14" Type="http://schemas.openxmlformats.org/officeDocument/2006/relationships/hyperlink" Target="https://hiring.naukri.com/hiring/020926020192/apply/6a98fe82daa5997a981f7490?src=excelDownload" TargetMode="External"/><Relationship Id="rId58" Type="http://schemas.openxmlformats.org/officeDocument/2006/relationships/hyperlink" Target="http://b.sc" TargetMode="External"/><Relationship Id="rId17" Type="http://schemas.openxmlformats.org/officeDocument/2006/relationships/hyperlink" Target="https://hiring.naukri.com/hiring/020926020192/apply/6a98fa85b41cd151e3a513be?src=excelDownload" TargetMode="External"/><Relationship Id="rId16" Type="http://schemas.openxmlformats.org/officeDocument/2006/relationships/hyperlink" Target="https://hiring.naukri.com/hiring/020926020192/apply/6a98fb46ec7530240d71f567?src=excelDownload" TargetMode="External"/><Relationship Id="rId19" Type="http://schemas.openxmlformats.org/officeDocument/2006/relationships/hyperlink" Target="https://hiring.naukri.com/hiring/020926020192/apply/6a98f7a4daa5997a981ea4a8?src=excelDownload" TargetMode="External"/><Relationship Id="rId18" Type="http://schemas.openxmlformats.org/officeDocument/2006/relationships/hyperlink" Target="https://hiring.naukri.com/hiring/020926020192/apply/6a98fa53b41cd151e3a50da9?src=excelDownload" TargetMode="External"/></Relationships>
</file>

<file path=xl/worksheets/_rels/sheet2.xml.rels><?xml version="1.0" encoding="UTF-8" standalone="yes"?><Relationships xmlns="http://schemas.openxmlformats.org/package/2006/relationships"><Relationship Id="rId40" Type="http://schemas.openxmlformats.org/officeDocument/2006/relationships/hyperlink" Target="https://hiring.naukri.com/hiring/020926020192/apply/6a97eda5f24720048c1f6635?src=excelDownload" TargetMode="External"/><Relationship Id="rId42" Type="http://schemas.openxmlformats.org/officeDocument/2006/relationships/hyperlink" Target="https://hiring.naukri.com/hiring/020926020192/apply/6a97e94df24720048c1f00d4?src=excelDownload" TargetMode="External"/><Relationship Id="rId41" Type="http://schemas.openxmlformats.org/officeDocument/2006/relationships/hyperlink" Target="http://gruve.ai" TargetMode="External"/><Relationship Id="rId44" Type="http://schemas.openxmlformats.org/officeDocument/2006/relationships/hyperlink" Target="https://hiring.naukri.com/hiring/020926020192/apply/6a97e94df24720048c1f00de?src=excelDownload" TargetMode="External"/><Relationship Id="rId43" Type="http://schemas.openxmlformats.org/officeDocument/2006/relationships/hyperlink" Target="http://gruve.ai" TargetMode="External"/><Relationship Id="rId46" Type="http://schemas.openxmlformats.org/officeDocument/2006/relationships/hyperlink" Target="https://hiring.naukri.com/hiring/020926020192/apply/6a97e717daa5997a98102692?src=excelDownload" TargetMode="External"/><Relationship Id="rId45" Type="http://schemas.openxmlformats.org/officeDocument/2006/relationships/hyperlink" Target="https://hiring.naukri.com/hiring/020926020192/apply/6a97e807daa5997a98103b95?src=excelDownload" TargetMode="External"/><Relationship Id="rId1" Type="http://schemas.openxmlformats.org/officeDocument/2006/relationships/hyperlink" Target="http://b.sc" TargetMode="External"/><Relationship Id="rId2" Type="http://schemas.openxmlformats.org/officeDocument/2006/relationships/hyperlink" Target="https://hiring.naukri.com/hiring/020926020192/apply/6a991663b41cd151e3a82a80?src=excelDownload" TargetMode="External"/><Relationship Id="rId3" Type="http://schemas.openxmlformats.org/officeDocument/2006/relationships/hyperlink" Target="https://hiring.naukri.com/hiring/020926020192/apply/6a9913b8f24720048c307655?src=excelDownload" TargetMode="External"/><Relationship Id="rId4" Type="http://schemas.openxmlformats.org/officeDocument/2006/relationships/hyperlink" Target="https://hiring.naukri.com/hiring/020926020192/apply/6a990facb41cd151e3a75cad?src=excelDownload" TargetMode="External"/><Relationship Id="rId9" Type="http://schemas.openxmlformats.org/officeDocument/2006/relationships/hyperlink" Target="https://hiring.naukri.com/hiring/020926020192/apply/6a99015fdaa5997a981fc462?src=excelDownload" TargetMode="External"/><Relationship Id="rId48" Type="http://schemas.openxmlformats.org/officeDocument/2006/relationships/hyperlink" Target="http://b.sc" TargetMode="External"/><Relationship Id="rId47" Type="http://schemas.openxmlformats.org/officeDocument/2006/relationships/hyperlink" Target="https://hiring.naukri.com/hiring/020926020192/apply/6a97e3a9f24720048c1e8066?src=excelDownload" TargetMode="External"/><Relationship Id="rId49" Type="http://schemas.openxmlformats.org/officeDocument/2006/relationships/hyperlink" Target="https://hiring.naukri.com/hiring/020926020192/apply/6a97e1a9daa5997a980fa682?src=excelDownload" TargetMode="External"/><Relationship Id="rId5" Type="http://schemas.openxmlformats.org/officeDocument/2006/relationships/hyperlink" Target="https://hiring.naukri.com/hiring/020926020192/apply/6a990e2ab41cd151e3a72f1d?src=excelDownload" TargetMode="External"/><Relationship Id="rId6" Type="http://schemas.openxmlformats.org/officeDocument/2006/relationships/hyperlink" Target="https://hiring.naukri.com/hiring/020926020192/apply/6a990b99b41cd151e3a6e3a4?src=excelDownload" TargetMode="External"/><Relationship Id="rId7" Type="http://schemas.openxmlformats.org/officeDocument/2006/relationships/hyperlink" Target="http://b.sc" TargetMode="External"/><Relationship Id="rId8" Type="http://schemas.openxmlformats.org/officeDocument/2006/relationships/hyperlink" Target="https://hiring.naukri.com/hiring/020926020192/apply/6a990a28ec7530240d737f2c?src=excelDownload" TargetMode="External"/><Relationship Id="rId31" Type="http://schemas.openxmlformats.org/officeDocument/2006/relationships/hyperlink" Target="http://b.sc" TargetMode="External"/><Relationship Id="rId30" Type="http://schemas.openxmlformats.org/officeDocument/2006/relationships/hyperlink" Target="https://hiring.naukri.com/hiring/020926020192/apply/6a98ee8eb41cd151e3a39d3a?src=excelDownload" TargetMode="External"/><Relationship Id="rId33" Type="http://schemas.openxmlformats.org/officeDocument/2006/relationships/hyperlink" Target="https://hiring.naukri.com/hiring/020926020192/apply/6a98debbec7530240d6f1a4a?src=excelDownload" TargetMode="External"/><Relationship Id="rId32" Type="http://schemas.openxmlformats.org/officeDocument/2006/relationships/hyperlink" Target="https://hiring.naukri.com/hiring/020926020192/apply/6a98ebe4daa5997a981d3982?src=excelDownload" TargetMode="External"/><Relationship Id="rId35" Type="http://schemas.openxmlformats.org/officeDocument/2006/relationships/hyperlink" Target="https://hiring.naukri.com/hiring/020926020192/apply/6a986a4cb41cd151e3a01f09?src=excelDownload" TargetMode="External"/><Relationship Id="rId34" Type="http://schemas.openxmlformats.org/officeDocument/2006/relationships/hyperlink" Target="https://hiring.naukri.com/hiring/020926020192/apply/6a98702bdaa5997a981a5319?src=excelDownload" TargetMode="External"/><Relationship Id="rId37" Type="http://schemas.openxmlformats.org/officeDocument/2006/relationships/hyperlink" Target="https://hiring.naukri.com/hiring/020926020192/apply/6a980c0cf24720048c223cb8?src=excelDownload" TargetMode="External"/><Relationship Id="rId36" Type="http://schemas.openxmlformats.org/officeDocument/2006/relationships/hyperlink" Target="https://hiring.naukri.com/hiring/020926020192/apply/6a981a8a02f13a09e443987e?src=excelDownload" TargetMode="External"/><Relationship Id="rId39" Type="http://schemas.openxmlformats.org/officeDocument/2006/relationships/hyperlink" Target="https://hiring.naukri.com/hiring/020926020192/apply/6a97facff24720048c208e7e?src=excelDownload" TargetMode="External"/><Relationship Id="rId38" Type="http://schemas.openxmlformats.org/officeDocument/2006/relationships/hyperlink" Target="http://b.sc" TargetMode="External"/><Relationship Id="rId20" Type="http://schemas.openxmlformats.org/officeDocument/2006/relationships/hyperlink" Target="https://hiring.naukri.com/hiring/020926020192/apply/6a98f70cf24720048c2d3afa?src=excelDownload" TargetMode="External"/><Relationship Id="rId22" Type="http://schemas.openxmlformats.org/officeDocument/2006/relationships/hyperlink" Target="http://b.sc" TargetMode="External"/><Relationship Id="rId21" Type="http://schemas.openxmlformats.org/officeDocument/2006/relationships/hyperlink" Target="https://hiring.naukri.com/hiring/020926020192/apply/6a98f6abdaa5997a981e848a?src=excelDownload" TargetMode="External"/><Relationship Id="rId24" Type="http://schemas.openxmlformats.org/officeDocument/2006/relationships/hyperlink" Target="http://b.sc" TargetMode="External"/><Relationship Id="rId23" Type="http://schemas.openxmlformats.org/officeDocument/2006/relationships/hyperlink" Target="https://hiring.naukri.com/hiring/020926020192/apply/6a98f60dec7530240d7150a2?src=excelDownload" TargetMode="External"/><Relationship Id="rId26" Type="http://schemas.openxmlformats.org/officeDocument/2006/relationships/hyperlink" Target="https://hiring.naukri.com/hiring/020926020192/apply/6a98f18bb41cd151e3a3fa2d?src=excelDownload" TargetMode="External"/><Relationship Id="rId25" Type="http://schemas.openxmlformats.org/officeDocument/2006/relationships/hyperlink" Target="https://hiring.naukri.com/hiring/020926020192/apply/6a98f53eb41cd151e3a4698f?src=excelDownload" TargetMode="External"/><Relationship Id="rId28" Type="http://schemas.openxmlformats.org/officeDocument/2006/relationships/hyperlink" Target="https://hiring.naukri.com/hiring/020926020192/apply/6a98ef52ec7530240d7080b1?src=excelDownload" TargetMode="External"/><Relationship Id="rId27" Type="http://schemas.openxmlformats.org/officeDocument/2006/relationships/hyperlink" Target="http://b.sc" TargetMode="External"/><Relationship Id="rId29" Type="http://schemas.openxmlformats.org/officeDocument/2006/relationships/hyperlink" Target="https://hiring.naukri.com/hiring/020926020192/apply/6a98ef31f24720048c2c4608?src=excelDownload" TargetMode="External"/><Relationship Id="rId51" Type="http://schemas.openxmlformats.org/officeDocument/2006/relationships/hyperlink" Target="https://hiring.naukri.com/hiring/020926020192/apply/6a97e0faec7530240d6247fc?src=excelDownload" TargetMode="External"/><Relationship Id="rId50" Type="http://schemas.openxmlformats.org/officeDocument/2006/relationships/hyperlink" Target="http://b.sc" TargetMode="External"/><Relationship Id="rId53" Type="http://schemas.openxmlformats.org/officeDocument/2006/relationships/hyperlink" Target="https://hiring.naukri.com/hiring/020926020192/apply/6a97e0dc02f13a09e43e57cb?src=excelDownload" TargetMode="External"/><Relationship Id="rId52" Type="http://schemas.openxmlformats.org/officeDocument/2006/relationships/hyperlink" Target="http://b.sc" TargetMode="External"/><Relationship Id="rId11" Type="http://schemas.openxmlformats.org/officeDocument/2006/relationships/hyperlink" Target="https://hiring.naukri.com/hiring/020926020192/apply/6a98fe82daa5997a981f7490?src=excelDownload" TargetMode="External"/><Relationship Id="rId55" Type="http://schemas.openxmlformats.org/officeDocument/2006/relationships/hyperlink" Target="http://b.sc" TargetMode="External"/><Relationship Id="rId10" Type="http://schemas.openxmlformats.org/officeDocument/2006/relationships/hyperlink" Target="http://b.sc" TargetMode="External"/><Relationship Id="rId54" Type="http://schemas.openxmlformats.org/officeDocument/2006/relationships/hyperlink" Target="https://hiring.naukri.com/hiring/020926020192/apply/6a97e0ae02f13a09e43e524d?src=excelDownload" TargetMode="External"/><Relationship Id="rId13" Type="http://schemas.openxmlformats.org/officeDocument/2006/relationships/hyperlink" Target="https://hiring.naukri.com/hiring/020926020192/apply/6a98fb46ec7530240d71f567?src=excelDownload" TargetMode="External"/><Relationship Id="rId57" Type="http://schemas.openxmlformats.org/officeDocument/2006/relationships/drawing" Target="../drawings/drawing2.xml"/><Relationship Id="rId12" Type="http://schemas.openxmlformats.org/officeDocument/2006/relationships/hyperlink" Target="http://b.sc" TargetMode="External"/><Relationship Id="rId56" Type="http://schemas.openxmlformats.org/officeDocument/2006/relationships/hyperlink" Target="https://hiring.naukri.com/hiring/020926020192/apply/6a97e08edaa5997a980f86d2?src=excelDownload" TargetMode="External"/><Relationship Id="rId15" Type="http://schemas.openxmlformats.org/officeDocument/2006/relationships/hyperlink" Target="https://hiring.naukri.com/hiring/020926020192/apply/6a98fa53b41cd151e3a50da9?src=excelDownload" TargetMode="External"/><Relationship Id="rId14" Type="http://schemas.openxmlformats.org/officeDocument/2006/relationships/hyperlink" Target="https://hiring.naukri.com/hiring/020926020192/apply/6a98fa85b41cd151e3a513be?src=excelDownload" TargetMode="External"/><Relationship Id="rId17" Type="http://schemas.openxmlformats.org/officeDocument/2006/relationships/hyperlink" Target="http://b.sc" TargetMode="External"/><Relationship Id="rId16" Type="http://schemas.openxmlformats.org/officeDocument/2006/relationships/hyperlink" Target="https://hiring.naukri.com/hiring/020926020192/apply/6a98f7a4daa5997a981ea4a8?src=excelDownload" TargetMode="External"/><Relationship Id="rId19" Type="http://schemas.openxmlformats.org/officeDocument/2006/relationships/hyperlink" Target="http://b.sc" TargetMode="External"/><Relationship Id="rId18" Type="http://schemas.openxmlformats.org/officeDocument/2006/relationships/hyperlink" Target="https://hiring.naukri.com/hiring/020926020192/apply/6a98f77bdaa5997a981e9f5f?src=excelDownload"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7.38"/>
    <col customWidth="1" min="3" max="3" width="19.0"/>
    <col customWidth="1" min="7" max="7" width="75.75"/>
    <col customWidth="1" min="9" max="9" width="28.25"/>
    <col hidden="1" min="11" max="12" width="12.63"/>
    <col customWidth="1" min="13" max="13" width="66.0"/>
    <col hidden="1" min="15" max="19" width="12.63"/>
    <col hidden="1" min="22" max="22" width="12.63"/>
    <col customWidth="1" min="24" max="24" width="19.38"/>
    <col customWidth="1" min="25" max="25" width="33.88"/>
    <col customWidth="1" min="29" max="29" width="60.38"/>
    <col customWidth="1" min="33" max="33" width="37.13"/>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row>
    <row r="2">
      <c r="A2" s="2" t="s">
        <v>37</v>
      </c>
      <c r="B2" s="3">
        <v>46268.0</v>
      </c>
      <c r="C2" s="2" t="s">
        <v>38</v>
      </c>
      <c r="D2" s="2" t="s">
        <v>39</v>
      </c>
      <c r="E2" s="2">
        <v>9.052052029E9</v>
      </c>
      <c r="F2" s="2" t="s">
        <v>40</v>
      </c>
      <c r="G2" s="2" t="s">
        <v>41</v>
      </c>
      <c r="H2" s="2" t="s">
        <v>42</v>
      </c>
      <c r="I2" s="2" t="s">
        <v>43</v>
      </c>
      <c r="J2" s="2" t="s">
        <v>44</v>
      </c>
      <c r="K2" s="2" t="s">
        <v>45</v>
      </c>
      <c r="L2" s="2" t="s">
        <v>46</v>
      </c>
      <c r="M2" s="2" t="s">
        <v>47</v>
      </c>
      <c r="N2" s="5" t="s">
        <v>48</v>
      </c>
      <c r="O2" s="2" t="s">
        <v>49</v>
      </c>
      <c r="P2" s="2" t="s">
        <v>50</v>
      </c>
      <c r="Q2" s="2" t="s">
        <v>50</v>
      </c>
      <c r="R2" s="2" t="s">
        <v>50</v>
      </c>
      <c r="S2" s="2" t="s">
        <v>50</v>
      </c>
      <c r="T2" s="2" t="s">
        <v>51</v>
      </c>
      <c r="U2" s="2" t="s">
        <v>50</v>
      </c>
      <c r="V2" s="3">
        <v>37055.0</v>
      </c>
      <c r="W2" s="2" t="s">
        <v>52</v>
      </c>
      <c r="X2" s="2" t="s">
        <v>53</v>
      </c>
      <c r="Y2" s="2" t="s">
        <v>50</v>
      </c>
      <c r="Z2" s="2" t="s">
        <v>50</v>
      </c>
      <c r="AA2" s="2" t="s">
        <v>50</v>
      </c>
      <c r="AB2" s="2" t="s">
        <v>50</v>
      </c>
      <c r="AC2" s="2" t="s">
        <v>54</v>
      </c>
      <c r="AD2" s="2">
        <v>5.0</v>
      </c>
      <c r="AE2" s="2">
        <v>5.0</v>
      </c>
      <c r="AF2" s="2" t="s">
        <v>55</v>
      </c>
      <c r="AG2" s="2">
        <v>800000.0</v>
      </c>
      <c r="AH2" s="2" t="s">
        <v>46</v>
      </c>
      <c r="AI2" s="2" t="s">
        <v>56</v>
      </c>
      <c r="AJ2" s="2">
        <v>523000.0</v>
      </c>
      <c r="AK2" s="8" t="s">
        <v>57</v>
      </c>
    </row>
    <row r="3">
      <c r="A3" s="2" t="s">
        <v>37</v>
      </c>
      <c r="B3" s="3">
        <v>46268.0</v>
      </c>
      <c r="C3" s="2" t="s">
        <v>58</v>
      </c>
      <c r="D3" s="2" t="s">
        <v>59</v>
      </c>
      <c r="E3" s="2">
        <v>9.422479813E9</v>
      </c>
      <c r="F3" s="2" t="s">
        <v>60</v>
      </c>
      <c r="G3" s="2" t="s">
        <v>61</v>
      </c>
      <c r="H3" s="2" t="s">
        <v>62</v>
      </c>
      <c r="I3" s="2" t="s">
        <v>63</v>
      </c>
      <c r="J3" s="2" t="s">
        <v>64</v>
      </c>
      <c r="K3" s="2" t="s">
        <v>65</v>
      </c>
      <c r="L3" s="2" t="s">
        <v>66</v>
      </c>
      <c r="M3" s="9" t="s">
        <v>67</v>
      </c>
      <c r="N3" s="2" t="s">
        <v>68</v>
      </c>
      <c r="O3" s="2" t="s">
        <v>69</v>
      </c>
      <c r="P3" s="2" t="s">
        <v>50</v>
      </c>
      <c r="Q3" s="2" t="s">
        <v>50</v>
      </c>
      <c r="R3" s="2" t="s">
        <v>50</v>
      </c>
      <c r="S3" s="2" t="s">
        <v>50</v>
      </c>
      <c r="T3" s="2" t="s">
        <v>51</v>
      </c>
      <c r="U3" s="2" t="s">
        <v>50</v>
      </c>
      <c r="V3" s="3">
        <v>38505.0</v>
      </c>
      <c r="W3" s="2" t="s">
        <v>52</v>
      </c>
      <c r="X3" s="2" t="s">
        <v>53</v>
      </c>
      <c r="Y3" s="2" t="s">
        <v>50</v>
      </c>
      <c r="Z3" s="2" t="s">
        <v>50</v>
      </c>
      <c r="AA3" s="2" t="s">
        <v>50</v>
      </c>
      <c r="AB3" s="2" t="s">
        <v>50</v>
      </c>
      <c r="AC3" s="2" t="s">
        <v>70</v>
      </c>
      <c r="AD3" s="2">
        <v>0.0</v>
      </c>
      <c r="AE3" s="2">
        <v>0.0</v>
      </c>
      <c r="AF3" s="2">
        <v>0.0</v>
      </c>
      <c r="AG3" s="2">
        <v>700000.0</v>
      </c>
      <c r="AH3" s="2" t="s">
        <v>66</v>
      </c>
      <c r="AI3" s="2" t="s">
        <v>56</v>
      </c>
      <c r="AJ3" s="2">
        <v>480000.0</v>
      </c>
      <c r="AK3" s="8" t="s">
        <v>71</v>
      </c>
    </row>
    <row r="4">
      <c r="A4" s="2" t="s">
        <v>37</v>
      </c>
      <c r="B4" s="3">
        <v>46268.0</v>
      </c>
      <c r="C4" s="2" t="s">
        <v>72</v>
      </c>
      <c r="D4" s="2" t="s">
        <v>73</v>
      </c>
      <c r="E4" s="2">
        <v>9.55383258E9</v>
      </c>
      <c r="F4" s="2" t="s">
        <v>40</v>
      </c>
      <c r="G4" s="10" t="s">
        <v>74</v>
      </c>
      <c r="H4" s="2" t="s">
        <v>75</v>
      </c>
      <c r="I4" s="2" t="s">
        <v>76</v>
      </c>
      <c r="J4" s="2" t="s">
        <v>77</v>
      </c>
      <c r="K4" s="2" t="s">
        <v>78</v>
      </c>
      <c r="L4" s="2" t="s">
        <v>79</v>
      </c>
      <c r="M4" s="2" t="s">
        <v>80</v>
      </c>
      <c r="N4" s="2" t="s">
        <v>81</v>
      </c>
      <c r="O4" s="2" t="s">
        <v>82</v>
      </c>
      <c r="P4" s="2" t="s">
        <v>50</v>
      </c>
      <c r="Q4" s="2" t="s">
        <v>50</v>
      </c>
      <c r="R4" s="2" t="s">
        <v>50</v>
      </c>
      <c r="S4" s="2" t="s">
        <v>50</v>
      </c>
      <c r="T4" s="2" t="s">
        <v>83</v>
      </c>
      <c r="U4" s="2" t="s">
        <v>84</v>
      </c>
      <c r="V4" s="11">
        <v>36705.0</v>
      </c>
      <c r="W4" s="2" t="s">
        <v>50</v>
      </c>
      <c r="X4" s="2" t="s">
        <v>50</v>
      </c>
      <c r="Y4" s="2" t="s">
        <v>50</v>
      </c>
      <c r="Z4" s="2" t="s">
        <v>50</v>
      </c>
      <c r="AA4" s="2" t="s">
        <v>50</v>
      </c>
      <c r="AB4" s="2" t="s">
        <v>50</v>
      </c>
      <c r="AC4" s="2" t="s">
        <v>85</v>
      </c>
      <c r="AD4" s="2">
        <v>3.6</v>
      </c>
      <c r="AE4" s="2">
        <v>3.6</v>
      </c>
      <c r="AF4" s="2">
        <v>3.6</v>
      </c>
      <c r="AG4" s="2">
        <v>690000.0</v>
      </c>
      <c r="AH4" s="2" t="s">
        <v>79</v>
      </c>
      <c r="AI4" s="2" t="s">
        <v>56</v>
      </c>
      <c r="AJ4" s="2">
        <v>690000.0</v>
      </c>
      <c r="AK4" s="8" t="s">
        <v>86</v>
      </c>
    </row>
    <row r="5">
      <c r="A5" s="2" t="s">
        <v>37</v>
      </c>
      <c r="B5" s="3">
        <v>46268.0</v>
      </c>
      <c r="C5" s="2" t="s">
        <v>87</v>
      </c>
      <c r="D5" s="2" t="s">
        <v>88</v>
      </c>
      <c r="E5" s="2">
        <v>7.744883512E9</v>
      </c>
      <c r="F5" s="2" t="s">
        <v>89</v>
      </c>
      <c r="G5" s="10" t="s">
        <v>90</v>
      </c>
      <c r="H5" s="2" t="s">
        <v>91</v>
      </c>
      <c r="I5" s="2" t="s">
        <v>92</v>
      </c>
      <c r="J5" s="2" t="s">
        <v>93</v>
      </c>
      <c r="K5" s="2" t="s">
        <v>94</v>
      </c>
      <c r="L5" s="2" t="s">
        <v>95</v>
      </c>
      <c r="M5" s="13" t="s">
        <v>96</v>
      </c>
      <c r="N5" s="2" t="s">
        <v>81</v>
      </c>
      <c r="O5" s="2" t="s">
        <v>97</v>
      </c>
      <c r="P5" s="2" t="s">
        <v>50</v>
      </c>
      <c r="Q5" s="2" t="s">
        <v>50</v>
      </c>
      <c r="R5" s="2" t="s">
        <v>50</v>
      </c>
      <c r="S5" s="2" t="s">
        <v>50</v>
      </c>
      <c r="T5" s="2" t="s">
        <v>83</v>
      </c>
      <c r="U5" s="2" t="s">
        <v>98</v>
      </c>
      <c r="V5" s="11">
        <v>36685.0</v>
      </c>
      <c r="W5" s="2" t="s">
        <v>50</v>
      </c>
      <c r="X5" s="2" t="s">
        <v>50</v>
      </c>
      <c r="Y5" s="2" t="s">
        <v>50</v>
      </c>
      <c r="Z5" s="2" t="s">
        <v>50</v>
      </c>
      <c r="AA5" s="2" t="s">
        <v>50</v>
      </c>
      <c r="AB5" s="2" t="s">
        <v>50</v>
      </c>
      <c r="AC5" s="2" t="s">
        <v>99</v>
      </c>
      <c r="AD5" s="2">
        <v>3.5</v>
      </c>
      <c r="AE5" s="2">
        <v>3.0</v>
      </c>
      <c r="AF5" s="2">
        <v>3.5</v>
      </c>
      <c r="AG5" s="2">
        <v>0.0</v>
      </c>
      <c r="AH5" s="2" t="s">
        <v>100</v>
      </c>
      <c r="AI5" s="2" t="s">
        <v>56</v>
      </c>
      <c r="AJ5" s="2">
        <v>422000.0</v>
      </c>
      <c r="AK5" s="8" t="s">
        <v>101</v>
      </c>
    </row>
    <row r="6">
      <c r="A6" s="2" t="s">
        <v>37</v>
      </c>
      <c r="B6" s="3">
        <v>46268.0</v>
      </c>
      <c r="C6" s="2" t="s">
        <v>102</v>
      </c>
      <c r="D6" s="2" t="s">
        <v>103</v>
      </c>
      <c r="E6" s="2">
        <v>9.356433292E9</v>
      </c>
      <c r="F6" s="2" t="s">
        <v>104</v>
      </c>
      <c r="G6" s="2" t="s">
        <v>105</v>
      </c>
      <c r="H6" s="2" t="s">
        <v>106</v>
      </c>
      <c r="I6" s="2" t="s">
        <v>107</v>
      </c>
      <c r="J6" s="2" t="s">
        <v>108</v>
      </c>
      <c r="K6" s="2" t="s">
        <v>109</v>
      </c>
      <c r="L6" s="2" t="s">
        <v>66</v>
      </c>
      <c r="M6" s="9" t="s">
        <v>110</v>
      </c>
      <c r="N6" s="2" t="s">
        <v>81</v>
      </c>
      <c r="O6" s="2" t="s">
        <v>111</v>
      </c>
      <c r="P6" s="2" t="s">
        <v>50</v>
      </c>
      <c r="Q6" s="2" t="s">
        <v>50</v>
      </c>
      <c r="R6" s="2" t="s">
        <v>50</v>
      </c>
      <c r="S6" s="2" t="s">
        <v>50</v>
      </c>
      <c r="T6" s="2" t="s">
        <v>51</v>
      </c>
      <c r="U6" s="2" t="s">
        <v>50</v>
      </c>
      <c r="V6" s="11">
        <v>37519.0</v>
      </c>
      <c r="W6" s="2" t="s">
        <v>52</v>
      </c>
      <c r="X6" s="2" t="s">
        <v>53</v>
      </c>
      <c r="Y6" s="2" t="s">
        <v>50</v>
      </c>
      <c r="Z6" s="2" t="s">
        <v>50</v>
      </c>
      <c r="AA6" s="2" t="s">
        <v>50</v>
      </c>
      <c r="AB6" s="2" t="s">
        <v>50</v>
      </c>
      <c r="AC6" s="2" t="s">
        <v>112</v>
      </c>
      <c r="AD6" s="2">
        <v>3.5</v>
      </c>
      <c r="AE6" s="2">
        <v>3.5</v>
      </c>
      <c r="AF6" s="2">
        <v>3.5</v>
      </c>
      <c r="AG6" s="2">
        <v>0.0</v>
      </c>
      <c r="AH6" s="2" t="s">
        <v>66</v>
      </c>
      <c r="AI6" s="2" t="s">
        <v>56</v>
      </c>
      <c r="AJ6" s="2">
        <v>560000.0</v>
      </c>
      <c r="AK6" s="8" t="s">
        <v>113</v>
      </c>
    </row>
    <row r="7">
      <c r="A7" s="2" t="s">
        <v>37</v>
      </c>
      <c r="B7" s="3">
        <v>46268.0</v>
      </c>
      <c r="C7" s="2" t="s">
        <v>114</v>
      </c>
      <c r="D7" s="2" t="s">
        <v>115</v>
      </c>
      <c r="E7" s="2">
        <v>9.272522145E9</v>
      </c>
      <c r="F7" s="2" t="s">
        <v>116</v>
      </c>
      <c r="G7" s="10" t="s">
        <v>117</v>
      </c>
      <c r="H7" s="2" t="s">
        <v>118</v>
      </c>
      <c r="I7" s="2" t="s">
        <v>50</v>
      </c>
      <c r="J7" s="2" t="s">
        <v>50</v>
      </c>
      <c r="K7" s="2" t="s">
        <v>119</v>
      </c>
      <c r="L7" s="2" t="s">
        <v>66</v>
      </c>
      <c r="M7" s="2" t="s">
        <v>120</v>
      </c>
      <c r="N7" s="2" t="s">
        <v>81</v>
      </c>
      <c r="O7" s="2" t="s">
        <v>121</v>
      </c>
      <c r="P7" s="2" t="s">
        <v>50</v>
      </c>
      <c r="Q7" s="2" t="s">
        <v>50</v>
      </c>
      <c r="R7" s="2" t="s">
        <v>50</v>
      </c>
      <c r="S7" s="2" t="s">
        <v>50</v>
      </c>
      <c r="T7" s="2" t="s">
        <v>83</v>
      </c>
      <c r="U7" s="2" t="s">
        <v>122</v>
      </c>
      <c r="V7" s="11">
        <v>36323.0</v>
      </c>
      <c r="W7" s="2" t="s">
        <v>50</v>
      </c>
      <c r="X7" s="2" t="s">
        <v>50</v>
      </c>
      <c r="Y7" s="2" t="s">
        <v>50</v>
      </c>
      <c r="Z7" s="2" t="s">
        <v>50</v>
      </c>
      <c r="AA7" s="2" t="s">
        <v>50</v>
      </c>
      <c r="AB7" s="2" t="s">
        <v>50</v>
      </c>
      <c r="AC7" s="2" t="s">
        <v>123</v>
      </c>
      <c r="AD7" s="2">
        <v>3.4</v>
      </c>
      <c r="AE7" s="2">
        <v>3.4</v>
      </c>
      <c r="AF7" s="2">
        <v>3.4</v>
      </c>
      <c r="AG7" s="2">
        <v>900000.0</v>
      </c>
      <c r="AH7" s="2" t="s">
        <v>66</v>
      </c>
      <c r="AI7" s="2" t="s">
        <v>56</v>
      </c>
      <c r="AJ7" s="2">
        <v>780000.0</v>
      </c>
      <c r="AK7" s="8" t="s">
        <v>124</v>
      </c>
    </row>
    <row r="8">
      <c r="A8" s="2" t="s">
        <v>37</v>
      </c>
      <c r="B8" s="3">
        <v>46268.0</v>
      </c>
      <c r="C8" s="2" t="s">
        <v>125</v>
      </c>
      <c r="D8" s="2" t="s">
        <v>126</v>
      </c>
      <c r="E8" s="2">
        <v>9.767259381E9</v>
      </c>
      <c r="F8" s="2" t="s">
        <v>116</v>
      </c>
      <c r="G8" s="10" t="s">
        <v>127</v>
      </c>
      <c r="H8" s="2" t="s">
        <v>128</v>
      </c>
      <c r="I8" s="2" t="s">
        <v>129</v>
      </c>
      <c r="J8" s="2" t="s">
        <v>130</v>
      </c>
      <c r="K8" s="2" t="s">
        <v>131</v>
      </c>
      <c r="L8" s="2" t="s">
        <v>79</v>
      </c>
      <c r="M8" s="2" t="s">
        <v>132</v>
      </c>
      <c r="N8" s="2" t="s">
        <v>81</v>
      </c>
      <c r="O8" s="2" t="s">
        <v>121</v>
      </c>
      <c r="P8" s="2" t="s">
        <v>50</v>
      </c>
      <c r="Q8" s="2" t="s">
        <v>50</v>
      </c>
      <c r="R8" s="2" t="s">
        <v>50</v>
      </c>
      <c r="S8" s="2" t="s">
        <v>50</v>
      </c>
      <c r="T8" s="2" t="s">
        <v>83</v>
      </c>
      <c r="U8" s="2" t="s">
        <v>89</v>
      </c>
      <c r="V8" s="14">
        <v>36445.0</v>
      </c>
      <c r="W8" s="2" t="s">
        <v>50</v>
      </c>
      <c r="X8" s="2" t="s">
        <v>50</v>
      </c>
      <c r="Y8" s="2" t="s">
        <v>50</v>
      </c>
      <c r="Z8" s="2" t="s">
        <v>50</v>
      </c>
      <c r="AA8" s="2" t="s">
        <v>50</v>
      </c>
      <c r="AB8" s="2" t="s">
        <v>50</v>
      </c>
      <c r="AC8" s="2" t="s">
        <v>133</v>
      </c>
      <c r="AD8" s="2">
        <v>3.0</v>
      </c>
      <c r="AE8" s="2">
        <v>3.0</v>
      </c>
      <c r="AF8" s="2">
        <v>3.0</v>
      </c>
      <c r="AG8" s="2">
        <v>0.0</v>
      </c>
      <c r="AH8" s="2" t="s">
        <v>79</v>
      </c>
      <c r="AI8" s="2" t="s">
        <v>56</v>
      </c>
      <c r="AJ8" s="2">
        <v>500000.0</v>
      </c>
      <c r="AK8" s="8" t="s">
        <v>134</v>
      </c>
    </row>
    <row r="9">
      <c r="A9" s="2" t="s">
        <v>37</v>
      </c>
      <c r="B9" s="3">
        <v>46268.0</v>
      </c>
      <c r="C9" s="15" t="s">
        <v>135</v>
      </c>
      <c r="D9" s="2" t="s">
        <v>136</v>
      </c>
      <c r="E9" s="2">
        <v>7.620658295E9</v>
      </c>
      <c r="F9" s="2" t="s">
        <v>137</v>
      </c>
      <c r="G9" s="2" t="s">
        <v>138</v>
      </c>
      <c r="H9" s="2" t="s">
        <v>139</v>
      </c>
      <c r="I9" s="2" t="s">
        <v>50</v>
      </c>
      <c r="J9" s="2" t="s">
        <v>50</v>
      </c>
      <c r="K9" s="2" t="s">
        <v>131</v>
      </c>
      <c r="L9" s="2" t="s">
        <v>95</v>
      </c>
      <c r="M9" s="9" t="s">
        <v>140</v>
      </c>
      <c r="N9" s="5" t="s">
        <v>48</v>
      </c>
      <c r="O9" s="2" t="s">
        <v>69</v>
      </c>
      <c r="P9" s="2" t="s">
        <v>50</v>
      </c>
      <c r="Q9" s="2" t="s">
        <v>50</v>
      </c>
      <c r="R9" s="2" t="s">
        <v>50</v>
      </c>
      <c r="S9" s="2" t="s">
        <v>50</v>
      </c>
      <c r="T9" s="2" t="s">
        <v>83</v>
      </c>
      <c r="U9" s="2" t="s">
        <v>50</v>
      </c>
      <c r="V9" s="3">
        <v>36672.0</v>
      </c>
      <c r="W9" s="2" t="s">
        <v>141</v>
      </c>
      <c r="X9" s="2" t="s">
        <v>142</v>
      </c>
      <c r="Y9" s="2" t="s">
        <v>143</v>
      </c>
      <c r="Z9" s="2" t="s">
        <v>50</v>
      </c>
      <c r="AA9" s="2" t="s">
        <v>50</v>
      </c>
      <c r="AB9" s="2" t="s">
        <v>50</v>
      </c>
      <c r="AC9" s="2" t="s">
        <v>56</v>
      </c>
      <c r="AD9" s="2">
        <v>1.0</v>
      </c>
      <c r="AE9" s="2" t="s">
        <v>144</v>
      </c>
      <c r="AF9" s="2">
        <v>1.0</v>
      </c>
      <c r="AG9" s="2">
        <v>500000.0</v>
      </c>
      <c r="AH9" s="2" t="s">
        <v>100</v>
      </c>
      <c r="AI9" s="2" t="s">
        <v>56</v>
      </c>
      <c r="AJ9" s="2">
        <v>500000.0</v>
      </c>
      <c r="AK9" s="8" t="s">
        <v>145</v>
      </c>
    </row>
    <row r="10">
      <c r="A10" s="2" t="s">
        <v>37</v>
      </c>
      <c r="B10" s="3">
        <v>46268.0</v>
      </c>
      <c r="C10" s="2" t="s">
        <v>146</v>
      </c>
      <c r="D10" s="2" t="s">
        <v>147</v>
      </c>
      <c r="E10" s="2">
        <v>9.151381187E9</v>
      </c>
      <c r="F10" s="2" t="s">
        <v>148</v>
      </c>
      <c r="G10" s="2" t="s">
        <v>149</v>
      </c>
      <c r="H10" s="2" t="s">
        <v>62</v>
      </c>
      <c r="I10" s="2" t="s">
        <v>150</v>
      </c>
      <c r="J10" s="2" t="s">
        <v>151</v>
      </c>
      <c r="K10" s="2" t="s">
        <v>152</v>
      </c>
      <c r="L10" s="2" t="s">
        <v>79</v>
      </c>
      <c r="M10" s="2" t="s">
        <v>153</v>
      </c>
      <c r="N10" s="2" t="s">
        <v>68</v>
      </c>
      <c r="O10" s="2" t="s">
        <v>154</v>
      </c>
      <c r="P10" s="2" t="s">
        <v>50</v>
      </c>
      <c r="Q10" s="2" t="s">
        <v>50</v>
      </c>
      <c r="R10" s="2" t="s">
        <v>50</v>
      </c>
      <c r="S10" s="2" t="s">
        <v>50</v>
      </c>
      <c r="T10" s="2" t="s">
        <v>83</v>
      </c>
      <c r="U10" s="2" t="s">
        <v>155</v>
      </c>
      <c r="V10" s="3">
        <v>38038.0</v>
      </c>
      <c r="W10" s="2" t="s">
        <v>50</v>
      </c>
      <c r="X10" s="2" t="s">
        <v>50</v>
      </c>
      <c r="Y10" s="2" t="s">
        <v>50</v>
      </c>
      <c r="Z10" s="2" t="s">
        <v>50</v>
      </c>
      <c r="AA10" s="2" t="s">
        <v>50</v>
      </c>
      <c r="AB10" s="2" t="s">
        <v>50</v>
      </c>
      <c r="AC10" s="2" t="s">
        <v>50</v>
      </c>
      <c r="AD10" s="2">
        <v>2.3</v>
      </c>
      <c r="AE10" s="2">
        <v>2.3</v>
      </c>
      <c r="AF10" s="2">
        <v>2.3</v>
      </c>
      <c r="AG10" s="2">
        <v>700000.0</v>
      </c>
      <c r="AH10" s="2" t="s">
        <v>79</v>
      </c>
      <c r="AI10" s="2" t="s">
        <v>56</v>
      </c>
      <c r="AJ10" s="2">
        <v>470000.0</v>
      </c>
      <c r="AK10" s="8" t="s">
        <v>156</v>
      </c>
    </row>
    <row r="11">
      <c r="A11" s="2" t="s">
        <v>37</v>
      </c>
      <c r="B11" s="3">
        <v>46268.0</v>
      </c>
      <c r="C11" s="2" t="s">
        <v>157</v>
      </c>
      <c r="D11" s="2" t="s">
        <v>158</v>
      </c>
      <c r="E11" s="2">
        <v>9.182813897E9</v>
      </c>
      <c r="F11" s="2" t="s">
        <v>40</v>
      </c>
      <c r="G11" s="10" t="s">
        <v>159</v>
      </c>
      <c r="H11" s="2" t="s">
        <v>160</v>
      </c>
      <c r="I11" s="2" t="s">
        <v>161</v>
      </c>
      <c r="J11" s="2" t="s">
        <v>162</v>
      </c>
      <c r="K11" s="2" t="s">
        <v>163</v>
      </c>
      <c r="L11" s="2" t="s">
        <v>66</v>
      </c>
      <c r="M11" s="2" t="s">
        <v>164</v>
      </c>
      <c r="N11" s="2" t="s">
        <v>81</v>
      </c>
      <c r="O11" s="2" t="s">
        <v>165</v>
      </c>
      <c r="P11" s="2" t="s">
        <v>50</v>
      </c>
      <c r="Q11" s="2" t="s">
        <v>50</v>
      </c>
      <c r="R11" s="2" t="s">
        <v>50</v>
      </c>
      <c r="S11" s="2" t="s">
        <v>50</v>
      </c>
      <c r="T11" s="2" t="s">
        <v>83</v>
      </c>
      <c r="U11" s="2" t="s">
        <v>50</v>
      </c>
      <c r="V11" s="11">
        <v>36578.0</v>
      </c>
      <c r="W11" s="2" t="s">
        <v>50</v>
      </c>
      <c r="X11" s="2" t="s">
        <v>166</v>
      </c>
      <c r="Y11" s="2" t="s">
        <v>50</v>
      </c>
      <c r="Z11" s="2" t="s">
        <v>50</v>
      </c>
      <c r="AA11" s="2" t="s">
        <v>50</v>
      </c>
      <c r="AB11" s="2" t="s">
        <v>50</v>
      </c>
      <c r="AC11" s="2" t="s">
        <v>167</v>
      </c>
      <c r="AD11" s="2">
        <v>4.0</v>
      </c>
      <c r="AE11" s="2">
        <v>4.0</v>
      </c>
      <c r="AF11" s="2">
        <v>3.0</v>
      </c>
      <c r="AG11" s="2">
        <v>950000.0</v>
      </c>
      <c r="AH11" s="2" t="s">
        <v>66</v>
      </c>
      <c r="AI11" s="2" t="s">
        <v>56</v>
      </c>
      <c r="AJ11" s="2">
        <v>450000.0</v>
      </c>
      <c r="AK11" s="8" t="s">
        <v>168</v>
      </c>
    </row>
    <row r="12">
      <c r="A12" s="2" t="s">
        <v>37</v>
      </c>
      <c r="B12" s="3">
        <v>46268.0</v>
      </c>
      <c r="C12" s="2" t="s">
        <v>169</v>
      </c>
      <c r="D12" s="2" t="s">
        <v>170</v>
      </c>
      <c r="E12" s="2">
        <v>7.058057599E9</v>
      </c>
      <c r="F12" s="2" t="s">
        <v>171</v>
      </c>
      <c r="G12" s="10" t="s">
        <v>172</v>
      </c>
      <c r="H12" s="2" t="s">
        <v>173</v>
      </c>
      <c r="I12" s="2" t="s">
        <v>92</v>
      </c>
      <c r="J12" s="2" t="s">
        <v>108</v>
      </c>
      <c r="K12" s="2" t="s">
        <v>163</v>
      </c>
      <c r="L12" s="2" t="s">
        <v>66</v>
      </c>
      <c r="M12" s="9" t="s">
        <v>174</v>
      </c>
      <c r="N12" s="5" t="s">
        <v>48</v>
      </c>
      <c r="O12" s="2" t="s">
        <v>175</v>
      </c>
      <c r="P12" s="2" t="s">
        <v>50</v>
      </c>
      <c r="Q12" s="2" t="s">
        <v>50</v>
      </c>
      <c r="R12" s="2" t="s">
        <v>50</v>
      </c>
      <c r="S12" s="2" t="s">
        <v>50</v>
      </c>
      <c r="T12" s="2" t="s">
        <v>83</v>
      </c>
      <c r="U12" s="2" t="s">
        <v>176</v>
      </c>
      <c r="V12" s="3">
        <v>36170.0</v>
      </c>
      <c r="W12" s="2" t="s">
        <v>50</v>
      </c>
      <c r="X12" s="2" t="s">
        <v>50</v>
      </c>
      <c r="Y12" s="2" t="s">
        <v>50</v>
      </c>
      <c r="Z12" s="2" t="s">
        <v>50</v>
      </c>
      <c r="AA12" s="2" t="s">
        <v>50</v>
      </c>
      <c r="AB12" s="2" t="s">
        <v>50</v>
      </c>
      <c r="AC12" s="2" t="s">
        <v>177</v>
      </c>
      <c r="AD12" s="2" t="s">
        <v>178</v>
      </c>
      <c r="AE12" s="2" t="s">
        <v>178</v>
      </c>
      <c r="AF12" s="2" t="s">
        <v>178</v>
      </c>
      <c r="AG12" s="2">
        <v>0.0</v>
      </c>
      <c r="AH12" s="2" t="s">
        <v>66</v>
      </c>
      <c r="AI12" s="2" t="s">
        <v>56</v>
      </c>
      <c r="AJ12" s="2">
        <v>450000.0</v>
      </c>
      <c r="AK12" s="8" t="s">
        <v>179</v>
      </c>
    </row>
    <row r="13">
      <c r="A13" s="2" t="s">
        <v>37</v>
      </c>
      <c r="B13" s="3">
        <v>46268.0</v>
      </c>
      <c r="C13" s="2" t="s">
        <v>180</v>
      </c>
      <c r="D13" s="2" t="s">
        <v>181</v>
      </c>
      <c r="E13" s="2">
        <v>9.993129669E9</v>
      </c>
      <c r="F13" s="2" t="s">
        <v>171</v>
      </c>
      <c r="G13" s="2" t="s">
        <v>182</v>
      </c>
      <c r="H13" s="2" t="s">
        <v>183</v>
      </c>
      <c r="I13" s="2" t="s">
        <v>184</v>
      </c>
      <c r="J13" s="2" t="s">
        <v>185</v>
      </c>
      <c r="K13" s="2" t="s">
        <v>186</v>
      </c>
      <c r="L13" s="2" t="s">
        <v>46</v>
      </c>
      <c r="M13" s="9" t="s">
        <v>187</v>
      </c>
      <c r="N13" s="5" t="s">
        <v>48</v>
      </c>
      <c r="O13" s="2" t="s">
        <v>188</v>
      </c>
      <c r="P13" s="2" t="s">
        <v>189</v>
      </c>
      <c r="Q13" s="2" t="s">
        <v>190</v>
      </c>
      <c r="R13" s="2" t="s">
        <v>50</v>
      </c>
      <c r="S13" s="2" t="s">
        <v>50</v>
      </c>
      <c r="T13" s="2" t="s">
        <v>51</v>
      </c>
      <c r="U13" s="2" t="s">
        <v>191</v>
      </c>
      <c r="V13" s="11">
        <v>36771.0</v>
      </c>
      <c r="W13" s="2" t="s">
        <v>52</v>
      </c>
      <c r="X13" s="2" t="s">
        <v>53</v>
      </c>
      <c r="Y13" s="2" t="s">
        <v>50</v>
      </c>
      <c r="Z13" s="2" t="s">
        <v>50</v>
      </c>
      <c r="AA13" s="2" t="s">
        <v>50</v>
      </c>
      <c r="AB13" s="2" t="s">
        <v>50</v>
      </c>
      <c r="AC13" s="2" t="s">
        <v>192</v>
      </c>
      <c r="AD13" s="2" t="s">
        <v>193</v>
      </c>
      <c r="AE13" s="2" t="s">
        <v>193</v>
      </c>
      <c r="AF13" s="2" t="s">
        <v>193</v>
      </c>
      <c r="AG13" s="2">
        <v>550000.0</v>
      </c>
      <c r="AH13" s="2" t="s">
        <v>46</v>
      </c>
      <c r="AI13" s="2" t="s">
        <v>56</v>
      </c>
      <c r="AJ13" s="2">
        <v>550000.0</v>
      </c>
      <c r="AK13" s="8" t="s">
        <v>194</v>
      </c>
    </row>
    <row r="14">
      <c r="A14" s="2" t="s">
        <v>37</v>
      </c>
      <c r="B14" s="3">
        <v>46268.0</v>
      </c>
      <c r="C14" s="2" t="s">
        <v>195</v>
      </c>
      <c r="D14" s="2" t="s">
        <v>196</v>
      </c>
      <c r="E14" s="2">
        <v>9.119454064E9</v>
      </c>
      <c r="F14" s="2" t="s">
        <v>89</v>
      </c>
      <c r="G14" s="10" t="s">
        <v>197</v>
      </c>
      <c r="H14" s="2" t="s">
        <v>198</v>
      </c>
      <c r="I14" s="2" t="s">
        <v>50</v>
      </c>
      <c r="J14" s="2" t="s">
        <v>50</v>
      </c>
      <c r="K14" s="2" t="s">
        <v>199</v>
      </c>
      <c r="L14" s="2" t="s">
        <v>66</v>
      </c>
      <c r="M14" s="2" t="s">
        <v>200</v>
      </c>
      <c r="N14" s="2" t="s">
        <v>68</v>
      </c>
      <c r="O14" s="2" t="s">
        <v>121</v>
      </c>
      <c r="P14" s="2" t="s">
        <v>50</v>
      </c>
      <c r="Q14" s="2" t="s">
        <v>50</v>
      </c>
      <c r="R14" s="2" t="s">
        <v>50</v>
      </c>
      <c r="S14" s="2" t="s">
        <v>50</v>
      </c>
      <c r="T14" s="2" t="s">
        <v>83</v>
      </c>
      <c r="U14" s="2" t="s">
        <v>89</v>
      </c>
      <c r="V14" s="11">
        <v>37478.0</v>
      </c>
      <c r="W14" s="2" t="s">
        <v>50</v>
      </c>
      <c r="X14" s="2" t="s">
        <v>50</v>
      </c>
      <c r="Y14" s="2" t="s">
        <v>50</v>
      </c>
      <c r="Z14" s="2" t="s">
        <v>50</v>
      </c>
      <c r="AA14" s="2" t="s">
        <v>50</v>
      </c>
      <c r="AB14" s="2" t="s">
        <v>50</v>
      </c>
      <c r="AC14" s="2" t="s">
        <v>201</v>
      </c>
      <c r="AD14" s="2" t="s">
        <v>202</v>
      </c>
      <c r="AE14" s="2" t="s">
        <v>202</v>
      </c>
      <c r="AF14" s="2" t="s">
        <v>202</v>
      </c>
      <c r="AG14" s="2">
        <v>700000.0</v>
      </c>
      <c r="AH14" s="2" t="s">
        <v>66</v>
      </c>
      <c r="AI14" s="2" t="s">
        <v>56</v>
      </c>
      <c r="AJ14" s="2">
        <v>600000.0</v>
      </c>
      <c r="AK14" s="8" t="s">
        <v>203</v>
      </c>
    </row>
    <row r="15">
      <c r="A15" s="2" t="s">
        <v>37</v>
      </c>
      <c r="B15" s="3">
        <v>46268.0</v>
      </c>
      <c r="C15" s="2" t="s">
        <v>204</v>
      </c>
      <c r="D15" s="2" t="s">
        <v>205</v>
      </c>
      <c r="E15" s="2" t="s">
        <v>206</v>
      </c>
      <c r="F15" s="2" t="s">
        <v>116</v>
      </c>
      <c r="G15" s="2" t="s">
        <v>207</v>
      </c>
      <c r="H15" s="2" t="s">
        <v>208</v>
      </c>
      <c r="I15" s="2" t="s">
        <v>209</v>
      </c>
      <c r="J15" s="2" t="s">
        <v>210</v>
      </c>
      <c r="K15" s="2" t="s">
        <v>211</v>
      </c>
      <c r="L15" s="2" t="s">
        <v>46</v>
      </c>
      <c r="M15" s="2" t="s">
        <v>212</v>
      </c>
      <c r="N15" s="2" t="s">
        <v>81</v>
      </c>
      <c r="O15" s="2" t="s">
        <v>213</v>
      </c>
      <c r="P15" s="2" t="s">
        <v>50</v>
      </c>
      <c r="Q15" s="2" t="s">
        <v>50</v>
      </c>
      <c r="R15" s="2" t="s">
        <v>50</v>
      </c>
      <c r="S15" s="2" t="s">
        <v>50</v>
      </c>
      <c r="T15" s="2" t="s">
        <v>51</v>
      </c>
      <c r="U15" s="2" t="s">
        <v>214</v>
      </c>
      <c r="V15" s="11">
        <v>36311.0</v>
      </c>
      <c r="W15" s="2" t="s">
        <v>52</v>
      </c>
      <c r="X15" s="2" t="s">
        <v>53</v>
      </c>
      <c r="Y15" s="2" t="s">
        <v>50</v>
      </c>
      <c r="Z15" s="2" t="s">
        <v>50</v>
      </c>
      <c r="AA15" s="2" t="s">
        <v>50</v>
      </c>
      <c r="AB15" s="2" t="s">
        <v>50</v>
      </c>
      <c r="AC15" s="2" t="s">
        <v>215</v>
      </c>
      <c r="AD15" s="2">
        <v>4.0</v>
      </c>
      <c r="AE15" s="2">
        <v>1.0</v>
      </c>
      <c r="AF15" s="2">
        <v>0.0</v>
      </c>
      <c r="AG15" s="2">
        <v>900000.0</v>
      </c>
      <c r="AH15" s="2" t="s">
        <v>46</v>
      </c>
      <c r="AI15" s="2" t="s">
        <v>56</v>
      </c>
      <c r="AJ15" s="2">
        <v>575000.0</v>
      </c>
      <c r="AK15" s="8" t="s">
        <v>216</v>
      </c>
    </row>
    <row r="16">
      <c r="A16" s="2" t="s">
        <v>37</v>
      </c>
      <c r="B16" s="3">
        <v>46268.0</v>
      </c>
      <c r="C16" s="2" t="s">
        <v>217</v>
      </c>
      <c r="D16" s="2" t="s">
        <v>218</v>
      </c>
      <c r="E16" s="2">
        <v>7.894288199E9</v>
      </c>
      <c r="F16" s="2" t="s">
        <v>40</v>
      </c>
      <c r="G16" s="2" t="s">
        <v>219</v>
      </c>
      <c r="H16" s="2" t="s">
        <v>128</v>
      </c>
      <c r="I16" s="2" t="s">
        <v>220</v>
      </c>
      <c r="J16" s="2" t="s">
        <v>221</v>
      </c>
      <c r="K16" s="2" t="s">
        <v>222</v>
      </c>
      <c r="L16" s="2" t="s">
        <v>79</v>
      </c>
      <c r="M16" s="2" t="s">
        <v>223</v>
      </c>
      <c r="N16" s="2" t="s">
        <v>81</v>
      </c>
      <c r="O16" s="2" t="s">
        <v>224</v>
      </c>
      <c r="P16" s="2" t="s">
        <v>50</v>
      </c>
      <c r="Q16" s="2" t="s">
        <v>50</v>
      </c>
      <c r="R16" s="2" t="s">
        <v>50</v>
      </c>
      <c r="S16" s="2" t="s">
        <v>50</v>
      </c>
      <c r="T16" s="2" t="s">
        <v>51</v>
      </c>
      <c r="U16" s="2" t="s">
        <v>225</v>
      </c>
      <c r="V16" s="11">
        <v>37794.0</v>
      </c>
      <c r="W16" s="2" t="s">
        <v>52</v>
      </c>
      <c r="X16" s="2" t="s">
        <v>53</v>
      </c>
      <c r="Y16" s="2" t="s">
        <v>50</v>
      </c>
      <c r="Z16" s="2" t="s">
        <v>50</v>
      </c>
      <c r="AA16" s="2" t="s">
        <v>50</v>
      </c>
      <c r="AB16" s="2" t="s">
        <v>50</v>
      </c>
      <c r="AC16" s="2" t="s">
        <v>226</v>
      </c>
      <c r="AD16" s="2">
        <v>3.0</v>
      </c>
      <c r="AE16" s="2">
        <v>3.0</v>
      </c>
      <c r="AF16" s="2">
        <v>3.0</v>
      </c>
      <c r="AG16" s="2">
        <v>600000.0</v>
      </c>
      <c r="AH16" s="2" t="s">
        <v>79</v>
      </c>
      <c r="AI16" s="2" t="s">
        <v>56</v>
      </c>
      <c r="AJ16" s="2">
        <v>250000.0</v>
      </c>
      <c r="AK16" s="8" t="s">
        <v>227</v>
      </c>
    </row>
    <row r="17">
      <c r="A17" s="2" t="s">
        <v>37</v>
      </c>
      <c r="B17" s="3">
        <v>46268.0</v>
      </c>
      <c r="C17" s="2" t="s">
        <v>228</v>
      </c>
      <c r="D17" s="2" t="s">
        <v>229</v>
      </c>
      <c r="E17" s="2">
        <v>9.156569978E9</v>
      </c>
      <c r="F17" s="2" t="s">
        <v>171</v>
      </c>
      <c r="G17" s="10" t="s">
        <v>230</v>
      </c>
      <c r="H17" s="2" t="s">
        <v>231</v>
      </c>
      <c r="I17" s="2" t="s">
        <v>107</v>
      </c>
      <c r="J17" s="2" t="s">
        <v>162</v>
      </c>
      <c r="K17" s="2" t="s">
        <v>65</v>
      </c>
      <c r="L17" s="2" t="s">
        <v>66</v>
      </c>
      <c r="M17" s="9" t="s">
        <v>232</v>
      </c>
      <c r="N17" s="2" t="s">
        <v>68</v>
      </c>
      <c r="O17" s="2" t="s">
        <v>69</v>
      </c>
      <c r="P17" s="2" t="s">
        <v>50</v>
      </c>
      <c r="Q17" s="2" t="s">
        <v>50</v>
      </c>
      <c r="R17" s="2" t="s">
        <v>50</v>
      </c>
      <c r="S17" s="2" t="s">
        <v>50</v>
      </c>
      <c r="T17" s="2" t="s">
        <v>83</v>
      </c>
      <c r="U17" s="2" t="s">
        <v>50</v>
      </c>
      <c r="V17" s="11">
        <v>38526.0</v>
      </c>
      <c r="W17" s="2" t="s">
        <v>50</v>
      </c>
      <c r="X17" s="2" t="s">
        <v>50</v>
      </c>
      <c r="Y17" s="2" t="s">
        <v>50</v>
      </c>
      <c r="Z17" s="2" t="s">
        <v>50</v>
      </c>
      <c r="AA17" s="2" t="s">
        <v>50</v>
      </c>
      <c r="AB17" s="2" t="s">
        <v>50</v>
      </c>
      <c r="AC17" s="2" t="s">
        <v>233</v>
      </c>
      <c r="AD17" s="2">
        <v>0.0</v>
      </c>
      <c r="AE17" s="2">
        <v>0.0</v>
      </c>
      <c r="AF17" s="2">
        <v>0.0</v>
      </c>
      <c r="AG17" s="2">
        <v>700000.0</v>
      </c>
      <c r="AH17" s="2" t="s">
        <v>66</v>
      </c>
      <c r="AI17" s="2" t="s">
        <v>56</v>
      </c>
      <c r="AJ17" s="2">
        <v>480000.0</v>
      </c>
      <c r="AK17" s="8" t="s">
        <v>234</v>
      </c>
    </row>
    <row r="18">
      <c r="A18" s="2" t="s">
        <v>37</v>
      </c>
      <c r="B18" s="3">
        <v>46268.0</v>
      </c>
      <c r="C18" s="2" t="s">
        <v>235</v>
      </c>
      <c r="D18" s="2" t="s">
        <v>236</v>
      </c>
      <c r="E18" s="2">
        <v>6.372951969E9</v>
      </c>
      <c r="F18" s="2" t="s">
        <v>237</v>
      </c>
      <c r="G18" s="10" t="s">
        <v>238</v>
      </c>
      <c r="H18" s="2" t="s">
        <v>160</v>
      </c>
      <c r="I18" s="2" t="s">
        <v>239</v>
      </c>
      <c r="J18" s="2" t="s">
        <v>240</v>
      </c>
      <c r="K18" s="2" t="s">
        <v>241</v>
      </c>
      <c r="L18" s="2" t="s">
        <v>66</v>
      </c>
      <c r="M18" s="2" t="s">
        <v>242</v>
      </c>
      <c r="N18" s="5" t="s">
        <v>48</v>
      </c>
      <c r="O18" s="2" t="s">
        <v>243</v>
      </c>
      <c r="P18" s="2" t="s">
        <v>244</v>
      </c>
      <c r="Q18" s="2" t="s">
        <v>245</v>
      </c>
      <c r="R18" s="2" t="s">
        <v>50</v>
      </c>
      <c r="S18" s="2" t="s">
        <v>50</v>
      </c>
      <c r="T18" s="2" t="s">
        <v>83</v>
      </c>
      <c r="U18" s="2" t="s">
        <v>246</v>
      </c>
      <c r="V18" s="11">
        <v>37125.0</v>
      </c>
      <c r="W18" s="2" t="s">
        <v>50</v>
      </c>
      <c r="X18" s="2" t="s">
        <v>50</v>
      </c>
      <c r="Y18" s="2" t="s">
        <v>50</v>
      </c>
      <c r="Z18" s="2" t="s">
        <v>50</v>
      </c>
      <c r="AA18" s="2" t="s">
        <v>50</v>
      </c>
      <c r="AB18" s="2" t="s">
        <v>50</v>
      </c>
      <c r="AC18" s="2" t="s">
        <v>247</v>
      </c>
      <c r="AD18" s="2" t="s">
        <v>248</v>
      </c>
      <c r="AE18" s="2" t="s">
        <v>248</v>
      </c>
      <c r="AF18" s="2" t="s">
        <v>248</v>
      </c>
      <c r="AG18" s="2">
        <v>850000.0</v>
      </c>
      <c r="AH18" s="2" t="s">
        <v>66</v>
      </c>
      <c r="AI18" s="2" t="s">
        <v>56</v>
      </c>
      <c r="AJ18" s="2">
        <v>650000.0</v>
      </c>
      <c r="AK18" s="8" t="s">
        <v>249</v>
      </c>
    </row>
    <row r="19">
      <c r="A19" s="2" t="s">
        <v>37</v>
      </c>
      <c r="B19" s="3">
        <v>46268.0</v>
      </c>
      <c r="C19" s="2" t="s">
        <v>250</v>
      </c>
      <c r="D19" s="2" t="s">
        <v>251</v>
      </c>
      <c r="E19" s="2">
        <v>7.396833242E9</v>
      </c>
      <c r="F19" s="2" t="s">
        <v>116</v>
      </c>
      <c r="G19" s="10" t="s">
        <v>252</v>
      </c>
      <c r="H19" s="2" t="s">
        <v>128</v>
      </c>
      <c r="I19" s="2" t="s">
        <v>253</v>
      </c>
      <c r="J19" s="2" t="s">
        <v>254</v>
      </c>
      <c r="K19" s="2" t="s">
        <v>163</v>
      </c>
      <c r="L19" s="2" t="s">
        <v>79</v>
      </c>
      <c r="M19" s="2" t="s">
        <v>255</v>
      </c>
      <c r="N19" s="5" t="s">
        <v>48</v>
      </c>
      <c r="O19" s="2" t="s">
        <v>256</v>
      </c>
      <c r="P19" s="2" t="s">
        <v>50</v>
      </c>
      <c r="Q19" s="2" t="s">
        <v>50</v>
      </c>
      <c r="R19" s="2" t="s">
        <v>50</v>
      </c>
      <c r="S19" s="2" t="s">
        <v>50</v>
      </c>
      <c r="T19" s="2" t="s">
        <v>83</v>
      </c>
      <c r="U19" s="2" t="s">
        <v>257</v>
      </c>
      <c r="V19" s="11">
        <v>37521.0</v>
      </c>
      <c r="W19" s="2" t="s">
        <v>50</v>
      </c>
      <c r="X19" s="2" t="s">
        <v>50</v>
      </c>
      <c r="Y19" s="2" t="s">
        <v>50</v>
      </c>
      <c r="Z19" s="2" t="s">
        <v>50</v>
      </c>
      <c r="AA19" s="2" t="s">
        <v>50</v>
      </c>
      <c r="AB19" s="2" t="s">
        <v>50</v>
      </c>
      <c r="AC19" s="2" t="s">
        <v>258</v>
      </c>
      <c r="AD19" s="2">
        <v>3.0</v>
      </c>
      <c r="AE19" s="2">
        <v>3.0</v>
      </c>
      <c r="AF19" s="2">
        <v>3.0</v>
      </c>
      <c r="AG19" s="2">
        <v>450000.0</v>
      </c>
      <c r="AH19" s="2" t="s">
        <v>79</v>
      </c>
      <c r="AI19" s="2" t="s">
        <v>56</v>
      </c>
      <c r="AJ19" s="2">
        <v>450000.0</v>
      </c>
      <c r="AK19" s="8" t="s">
        <v>259</v>
      </c>
    </row>
    <row r="20">
      <c r="A20" s="2" t="s">
        <v>37</v>
      </c>
      <c r="B20" s="3">
        <v>46268.0</v>
      </c>
      <c r="C20" s="2" t="s">
        <v>260</v>
      </c>
      <c r="D20" s="2" t="s">
        <v>261</v>
      </c>
      <c r="E20" s="2">
        <v>7.41698499E9</v>
      </c>
      <c r="F20" s="2" t="s">
        <v>148</v>
      </c>
      <c r="G20" s="10" t="s">
        <v>262</v>
      </c>
      <c r="H20" s="2" t="s">
        <v>263</v>
      </c>
      <c r="I20" s="2" t="s">
        <v>264</v>
      </c>
      <c r="J20" s="2" t="s">
        <v>265</v>
      </c>
      <c r="K20" s="2" t="s">
        <v>266</v>
      </c>
      <c r="L20" s="2" t="s">
        <v>79</v>
      </c>
      <c r="M20" s="2" t="s">
        <v>267</v>
      </c>
      <c r="N20" s="2" t="s">
        <v>268</v>
      </c>
      <c r="O20" s="2" t="s">
        <v>269</v>
      </c>
      <c r="P20" s="2" t="s">
        <v>50</v>
      </c>
      <c r="Q20" s="2" t="s">
        <v>50</v>
      </c>
      <c r="R20" s="2" t="s">
        <v>50</v>
      </c>
      <c r="S20" s="2" t="s">
        <v>50</v>
      </c>
      <c r="T20" s="2" t="s">
        <v>83</v>
      </c>
      <c r="U20" s="2" t="s">
        <v>50</v>
      </c>
      <c r="V20" s="3">
        <v>36534.0</v>
      </c>
      <c r="W20" s="2" t="s">
        <v>50</v>
      </c>
      <c r="X20" s="2" t="s">
        <v>50</v>
      </c>
      <c r="Y20" s="2" t="s">
        <v>50</v>
      </c>
      <c r="Z20" s="2" t="s">
        <v>50</v>
      </c>
      <c r="AA20" s="2" t="s">
        <v>50</v>
      </c>
      <c r="AB20" s="2" t="s">
        <v>50</v>
      </c>
      <c r="AC20" s="2" t="s">
        <v>270</v>
      </c>
      <c r="AD20" s="2">
        <v>4.0</v>
      </c>
      <c r="AE20" s="2">
        <v>4.0</v>
      </c>
      <c r="AF20" s="2">
        <v>4.0</v>
      </c>
      <c r="AG20" s="2">
        <v>750000.0</v>
      </c>
      <c r="AH20" s="2" t="s">
        <v>79</v>
      </c>
      <c r="AI20" s="2" t="s">
        <v>56</v>
      </c>
      <c r="AJ20" s="2">
        <v>520000.0</v>
      </c>
      <c r="AK20" s="8" t="s">
        <v>271</v>
      </c>
    </row>
    <row r="21">
      <c r="A21" s="2" t="s">
        <v>37</v>
      </c>
      <c r="B21" s="3">
        <v>46268.0</v>
      </c>
      <c r="C21" s="15" t="s">
        <v>272</v>
      </c>
      <c r="D21" s="2" t="s">
        <v>273</v>
      </c>
      <c r="E21" s="2">
        <v>7.083174241E9</v>
      </c>
      <c r="F21" s="2" t="s">
        <v>274</v>
      </c>
      <c r="G21" s="2" t="s">
        <v>275</v>
      </c>
      <c r="H21" s="2" t="s">
        <v>198</v>
      </c>
      <c r="I21" s="2" t="s">
        <v>276</v>
      </c>
      <c r="J21" s="2" t="s">
        <v>108</v>
      </c>
      <c r="K21" s="2" t="s">
        <v>186</v>
      </c>
      <c r="L21" s="2" t="s">
        <v>66</v>
      </c>
      <c r="M21" s="9" t="s">
        <v>277</v>
      </c>
      <c r="N21" s="5" t="s">
        <v>48</v>
      </c>
      <c r="O21" s="2" t="s">
        <v>278</v>
      </c>
      <c r="P21" s="2" t="s">
        <v>244</v>
      </c>
      <c r="Q21" s="2" t="s">
        <v>279</v>
      </c>
      <c r="R21" s="2" t="s">
        <v>50</v>
      </c>
      <c r="S21" s="2" t="s">
        <v>50</v>
      </c>
      <c r="T21" s="2" t="s">
        <v>83</v>
      </c>
      <c r="U21" s="2" t="s">
        <v>50</v>
      </c>
      <c r="V21" s="3">
        <v>37143.0</v>
      </c>
      <c r="W21" s="2" t="s">
        <v>141</v>
      </c>
      <c r="X21" s="2" t="s">
        <v>280</v>
      </c>
      <c r="Y21" s="2" t="s">
        <v>143</v>
      </c>
      <c r="Z21" s="2" t="s">
        <v>50</v>
      </c>
      <c r="AA21" s="2" t="s">
        <v>50</v>
      </c>
      <c r="AB21" s="2" t="s">
        <v>50</v>
      </c>
      <c r="AC21" s="2" t="s">
        <v>281</v>
      </c>
      <c r="AD21" s="2">
        <v>3.0</v>
      </c>
      <c r="AE21" s="2">
        <v>3.0</v>
      </c>
      <c r="AF21" s="2">
        <v>3.0</v>
      </c>
      <c r="AG21" s="2">
        <v>0.0</v>
      </c>
      <c r="AH21" s="2" t="s">
        <v>66</v>
      </c>
      <c r="AI21" s="2" t="s">
        <v>56</v>
      </c>
      <c r="AJ21" s="2">
        <v>550000.0</v>
      </c>
      <c r="AK21" s="8" t="s">
        <v>282</v>
      </c>
    </row>
    <row r="22">
      <c r="A22" s="2" t="s">
        <v>37</v>
      </c>
      <c r="B22" s="3">
        <v>46268.0</v>
      </c>
      <c r="C22" s="2" t="s">
        <v>283</v>
      </c>
      <c r="D22" s="2" t="s">
        <v>284</v>
      </c>
      <c r="E22" s="2">
        <v>6.361614313E9</v>
      </c>
      <c r="F22" s="2" t="s">
        <v>116</v>
      </c>
      <c r="G22" s="10" t="s">
        <v>285</v>
      </c>
      <c r="H22" s="2" t="s">
        <v>286</v>
      </c>
      <c r="I22" s="2" t="s">
        <v>50</v>
      </c>
      <c r="J22" s="2" t="s">
        <v>50</v>
      </c>
      <c r="K22" s="2" t="s">
        <v>287</v>
      </c>
      <c r="L22" s="2" t="s">
        <v>79</v>
      </c>
      <c r="M22" s="2" t="s">
        <v>288</v>
      </c>
      <c r="N22" s="2" t="s">
        <v>81</v>
      </c>
      <c r="O22" s="2" t="s">
        <v>289</v>
      </c>
      <c r="P22" s="2" t="s">
        <v>50</v>
      </c>
      <c r="Q22" s="2" t="s">
        <v>50</v>
      </c>
      <c r="R22" s="2" t="s">
        <v>50</v>
      </c>
      <c r="S22" s="2" t="s">
        <v>50</v>
      </c>
      <c r="T22" s="2" t="s">
        <v>83</v>
      </c>
      <c r="U22" s="2" t="s">
        <v>290</v>
      </c>
      <c r="V22" s="3">
        <v>35250.0</v>
      </c>
      <c r="W22" s="2" t="s">
        <v>50</v>
      </c>
      <c r="X22" s="2" t="s">
        <v>50</v>
      </c>
      <c r="Y22" s="2" t="s">
        <v>50</v>
      </c>
      <c r="Z22" s="2" t="s">
        <v>50</v>
      </c>
      <c r="AA22" s="2" t="s">
        <v>50</v>
      </c>
      <c r="AB22" s="2" t="s">
        <v>50</v>
      </c>
      <c r="AC22" s="2" t="s">
        <v>291</v>
      </c>
      <c r="AD22" s="2">
        <v>2.0</v>
      </c>
      <c r="AE22" s="2">
        <v>2.0</v>
      </c>
      <c r="AF22" s="2">
        <v>2.0</v>
      </c>
      <c r="AG22" s="2">
        <v>650000.0</v>
      </c>
      <c r="AH22" s="2" t="s">
        <v>79</v>
      </c>
      <c r="AI22" s="2" t="s">
        <v>56</v>
      </c>
      <c r="AJ22" s="2">
        <v>420000.0</v>
      </c>
      <c r="AK22" s="8" t="s">
        <v>292</v>
      </c>
    </row>
    <row r="23">
      <c r="A23" s="2" t="s">
        <v>37</v>
      </c>
      <c r="B23" s="3">
        <v>46268.0</v>
      </c>
      <c r="C23" s="2" t="s">
        <v>293</v>
      </c>
      <c r="D23" s="2" t="s">
        <v>294</v>
      </c>
      <c r="E23" s="2">
        <v>9.881447207E9</v>
      </c>
      <c r="F23" s="2" t="s">
        <v>89</v>
      </c>
      <c r="G23" s="2" t="s">
        <v>89</v>
      </c>
      <c r="H23" s="2" t="s">
        <v>139</v>
      </c>
      <c r="I23" s="2" t="s">
        <v>295</v>
      </c>
      <c r="J23" s="2" t="s">
        <v>296</v>
      </c>
      <c r="K23" s="2" t="s">
        <v>131</v>
      </c>
      <c r="L23" s="2" t="s">
        <v>95</v>
      </c>
      <c r="M23" s="2" t="s">
        <v>297</v>
      </c>
      <c r="N23" s="5" t="s">
        <v>48</v>
      </c>
      <c r="O23" s="2" t="s">
        <v>69</v>
      </c>
      <c r="P23" s="2" t="s">
        <v>189</v>
      </c>
      <c r="Q23" s="2" t="s">
        <v>298</v>
      </c>
      <c r="R23" s="2" t="s">
        <v>50</v>
      </c>
      <c r="S23" s="2" t="s">
        <v>50</v>
      </c>
      <c r="T23" s="2" t="s">
        <v>83</v>
      </c>
      <c r="U23" s="2" t="s">
        <v>299</v>
      </c>
      <c r="V23" s="11">
        <v>36873.0</v>
      </c>
      <c r="W23" s="2" t="s">
        <v>50</v>
      </c>
      <c r="X23" s="2" t="s">
        <v>50</v>
      </c>
      <c r="Y23" s="2" t="s">
        <v>50</v>
      </c>
      <c r="Z23" s="2" t="s">
        <v>50</v>
      </c>
      <c r="AA23" s="2" t="s">
        <v>50</v>
      </c>
      <c r="AB23" s="2" t="s">
        <v>50</v>
      </c>
      <c r="AC23" s="2" t="s">
        <v>300</v>
      </c>
      <c r="AD23" s="2" t="s">
        <v>144</v>
      </c>
      <c r="AE23" s="2" t="s">
        <v>144</v>
      </c>
      <c r="AF23" s="2" t="s">
        <v>144</v>
      </c>
      <c r="AG23" s="2">
        <v>550000.0</v>
      </c>
      <c r="AH23" s="2" t="s">
        <v>100</v>
      </c>
      <c r="AI23" s="2" t="s">
        <v>56</v>
      </c>
      <c r="AJ23" s="2">
        <v>500000.0</v>
      </c>
      <c r="AK23" s="8" t="s">
        <v>301</v>
      </c>
    </row>
    <row r="24">
      <c r="A24" s="2" t="s">
        <v>37</v>
      </c>
      <c r="B24" s="3">
        <v>46268.0</v>
      </c>
      <c r="C24" s="2" t="s">
        <v>302</v>
      </c>
      <c r="D24" s="2" t="s">
        <v>303</v>
      </c>
      <c r="E24" s="2">
        <v>8.888922664E9</v>
      </c>
      <c r="F24" s="2" t="s">
        <v>89</v>
      </c>
      <c r="G24" s="10" t="s">
        <v>304</v>
      </c>
      <c r="H24" s="2" t="s">
        <v>305</v>
      </c>
      <c r="I24" s="2" t="s">
        <v>306</v>
      </c>
      <c r="J24" s="2" t="s">
        <v>307</v>
      </c>
      <c r="K24" s="2" t="s">
        <v>308</v>
      </c>
      <c r="L24" s="2" t="s">
        <v>309</v>
      </c>
      <c r="M24" s="2" t="s">
        <v>310</v>
      </c>
      <c r="N24" s="2" t="s">
        <v>68</v>
      </c>
      <c r="O24" s="2" t="s">
        <v>121</v>
      </c>
      <c r="P24" s="2" t="s">
        <v>50</v>
      </c>
      <c r="Q24" s="2" t="s">
        <v>50</v>
      </c>
      <c r="R24" s="2" t="s">
        <v>50</v>
      </c>
      <c r="S24" s="2" t="s">
        <v>50</v>
      </c>
      <c r="T24" s="2" t="s">
        <v>83</v>
      </c>
      <c r="U24" s="2" t="s">
        <v>89</v>
      </c>
      <c r="V24" s="3">
        <v>35070.0</v>
      </c>
      <c r="W24" s="2" t="s">
        <v>50</v>
      </c>
      <c r="X24" s="2" t="s">
        <v>50</v>
      </c>
      <c r="Y24" s="2" t="s">
        <v>50</v>
      </c>
      <c r="Z24" s="2" t="s">
        <v>50</v>
      </c>
      <c r="AA24" s="2" t="s">
        <v>50</v>
      </c>
      <c r="AB24" s="2" t="s">
        <v>50</v>
      </c>
      <c r="AC24" s="2" t="s">
        <v>311</v>
      </c>
      <c r="AD24" s="2">
        <v>5.0</v>
      </c>
      <c r="AE24" s="2">
        <v>4.0</v>
      </c>
      <c r="AF24" s="2">
        <v>4.0</v>
      </c>
      <c r="AG24" s="2">
        <v>900000.0</v>
      </c>
      <c r="AH24" s="2" t="s">
        <v>309</v>
      </c>
      <c r="AI24" s="2" t="s">
        <v>56</v>
      </c>
      <c r="AJ24" s="2">
        <v>572232.0</v>
      </c>
      <c r="AK24" s="8" t="s">
        <v>312</v>
      </c>
    </row>
    <row r="25">
      <c r="A25" s="2" t="s">
        <v>37</v>
      </c>
      <c r="B25" s="3">
        <v>46268.0</v>
      </c>
      <c r="C25" s="15" t="s">
        <v>313</v>
      </c>
      <c r="D25" s="2" t="s">
        <v>314</v>
      </c>
      <c r="E25" s="2">
        <v>9.970377027E9</v>
      </c>
      <c r="F25" s="2" t="s">
        <v>171</v>
      </c>
      <c r="G25" s="2" t="s">
        <v>315</v>
      </c>
      <c r="H25" s="2" t="s">
        <v>128</v>
      </c>
      <c r="I25" s="2" t="s">
        <v>107</v>
      </c>
      <c r="J25" s="2" t="s">
        <v>108</v>
      </c>
      <c r="K25" s="2" t="s">
        <v>186</v>
      </c>
      <c r="L25" s="2" t="s">
        <v>66</v>
      </c>
      <c r="M25" s="9" t="s">
        <v>316</v>
      </c>
      <c r="N25" s="2" t="s">
        <v>81</v>
      </c>
      <c r="O25" s="2" t="s">
        <v>317</v>
      </c>
      <c r="P25" s="2" t="s">
        <v>50</v>
      </c>
      <c r="Q25" s="2" t="s">
        <v>50</v>
      </c>
      <c r="R25" s="2" t="s">
        <v>50</v>
      </c>
      <c r="S25" s="2" t="s">
        <v>50</v>
      </c>
      <c r="T25" s="2" t="s">
        <v>83</v>
      </c>
      <c r="U25" s="2" t="s">
        <v>318</v>
      </c>
      <c r="V25" s="17">
        <v>37745.0</v>
      </c>
      <c r="W25" s="2" t="s">
        <v>141</v>
      </c>
      <c r="X25" s="2" t="s">
        <v>319</v>
      </c>
      <c r="Y25" s="2" t="s">
        <v>143</v>
      </c>
      <c r="Z25" s="2" t="s">
        <v>50</v>
      </c>
      <c r="AA25" s="2" t="s">
        <v>50</v>
      </c>
      <c r="AB25" s="2" t="s">
        <v>50</v>
      </c>
      <c r="AC25" s="2" t="s">
        <v>320</v>
      </c>
      <c r="AD25" s="2">
        <v>1.0</v>
      </c>
      <c r="AE25" s="2">
        <v>1.0</v>
      </c>
      <c r="AF25" s="2">
        <v>1.0</v>
      </c>
      <c r="AG25" s="2">
        <v>0.0</v>
      </c>
      <c r="AH25" s="2" t="s">
        <v>66</v>
      </c>
      <c r="AI25" s="2" t="s">
        <v>56</v>
      </c>
      <c r="AJ25" s="2">
        <v>550000.0</v>
      </c>
      <c r="AK25" s="8" t="s">
        <v>321</v>
      </c>
    </row>
    <row r="26">
      <c r="A26" s="2" t="s">
        <v>37</v>
      </c>
      <c r="B26" s="3">
        <v>46268.0</v>
      </c>
      <c r="C26" s="2" t="s">
        <v>322</v>
      </c>
      <c r="D26" s="2" t="s">
        <v>323</v>
      </c>
      <c r="E26" s="2">
        <v>7.020030358E9</v>
      </c>
      <c r="F26" s="2" t="s">
        <v>171</v>
      </c>
      <c r="G26" s="10" t="s">
        <v>324</v>
      </c>
      <c r="H26" s="2" t="s">
        <v>62</v>
      </c>
      <c r="I26" s="2" t="s">
        <v>107</v>
      </c>
      <c r="J26" s="2" t="s">
        <v>162</v>
      </c>
      <c r="K26" s="2" t="s">
        <v>65</v>
      </c>
      <c r="L26" s="2" t="s">
        <v>66</v>
      </c>
      <c r="M26" s="9" t="s">
        <v>325</v>
      </c>
      <c r="N26" s="5" t="s">
        <v>48</v>
      </c>
      <c r="O26" s="2" t="s">
        <v>326</v>
      </c>
      <c r="P26" s="2" t="s">
        <v>50</v>
      </c>
      <c r="Q26" s="2" t="s">
        <v>50</v>
      </c>
      <c r="R26" s="2" t="s">
        <v>50</v>
      </c>
      <c r="S26" s="2" t="s">
        <v>50</v>
      </c>
      <c r="T26" s="2" t="s">
        <v>83</v>
      </c>
      <c r="U26" s="2" t="s">
        <v>327</v>
      </c>
      <c r="V26" s="17">
        <v>38474.0</v>
      </c>
      <c r="W26" s="2" t="s">
        <v>50</v>
      </c>
      <c r="X26" s="2" t="s">
        <v>50</v>
      </c>
      <c r="Y26" s="2" t="s">
        <v>50</v>
      </c>
      <c r="Z26" s="2" t="s">
        <v>50</v>
      </c>
      <c r="AA26" s="2" t="s">
        <v>50</v>
      </c>
      <c r="AB26" s="2" t="s">
        <v>50</v>
      </c>
      <c r="AC26" s="2" t="s">
        <v>328</v>
      </c>
      <c r="AD26" s="2">
        <v>1.0</v>
      </c>
      <c r="AE26" s="2">
        <v>1.0</v>
      </c>
      <c r="AF26" s="2">
        <v>1.0</v>
      </c>
      <c r="AG26" s="2">
        <v>700000.0</v>
      </c>
      <c r="AH26" s="2" t="s">
        <v>66</v>
      </c>
      <c r="AI26" s="2" t="s">
        <v>56</v>
      </c>
      <c r="AJ26" s="2">
        <v>480000.0</v>
      </c>
      <c r="AK26" s="8" t="s">
        <v>329</v>
      </c>
    </row>
    <row r="27">
      <c r="A27" s="2" t="s">
        <v>37</v>
      </c>
      <c r="B27" s="3">
        <v>46268.0</v>
      </c>
      <c r="C27" s="2" t="s">
        <v>330</v>
      </c>
      <c r="D27" s="2" t="s">
        <v>331</v>
      </c>
      <c r="E27" s="2">
        <v>6.380521723E9</v>
      </c>
      <c r="F27" s="2" t="s">
        <v>332</v>
      </c>
      <c r="G27" s="10" t="s">
        <v>333</v>
      </c>
      <c r="H27" s="2" t="s">
        <v>334</v>
      </c>
      <c r="I27" s="2" t="s">
        <v>50</v>
      </c>
      <c r="J27" s="2" t="s">
        <v>50</v>
      </c>
      <c r="K27" s="2" t="s">
        <v>163</v>
      </c>
      <c r="L27" s="2" t="s">
        <v>79</v>
      </c>
      <c r="M27" s="2" t="s">
        <v>335</v>
      </c>
      <c r="N27" s="5" t="s">
        <v>48</v>
      </c>
      <c r="O27" s="2" t="s">
        <v>336</v>
      </c>
      <c r="P27" s="2" t="s">
        <v>50</v>
      </c>
      <c r="Q27" s="2" t="s">
        <v>50</v>
      </c>
      <c r="R27" s="2" t="s">
        <v>50</v>
      </c>
      <c r="S27" s="2" t="s">
        <v>50</v>
      </c>
      <c r="T27" s="2" t="s">
        <v>83</v>
      </c>
      <c r="U27" s="2" t="s">
        <v>337</v>
      </c>
      <c r="V27" s="11">
        <v>37339.0</v>
      </c>
      <c r="W27" s="2" t="s">
        <v>50</v>
      </c>
      <c r="X27" s="2" t="s">
        <v>50</v>
      </c>
      <c r="Y27" s="2" t="s">
        <v>50</v>
      </c>
      <c r="Z27" s="2" t="s">
        <v>50</v>
      </c>
      <c r="AA27" s="2" t="s">
        <v>50</v>
      </c>
      <c r="AB27" s="2" t="s">
        <v>50</v>
      </c>
      <c r="AC27" s="2" t="s">
        <v>338</v>
      </c>
      <c r="AD27" s="2">
        <v>2.0</v>
      </c>
      <c r="AE27" s="2">
        <v>2.0</v>
      </c>
      <c r="AF27" s="2">
        <v>2.0</v>
      </c>
      <c r="AG27" s="2">
        <v>550000.0</v>
      </c>
      <c r="AH27" s="2" t="s">
        <v>79</v>
      </c>
      <c r="AI27" s="2" t="s">
        <v>56</v>
      </c>
      <c r="AJ27" s="2">
        <v>450000.0</v>
      </c>
      <c r="AK27" s="8" t="s">
        <v>339</v>
      </c>
    </row>
    <row r="28">
      <c r="A28" s="2" t="s">
        <v>37</v>
      </c>
      <c r="B28" s="3">
        <v>46268.0</v>
      </c>
      <c r="C28" s="15" t="s">
        <v>340</v>
      </c>
      <c r="D28" s="2" t="s">
        <v>341</v>
      </c>
      <c r="E28" s="2">
        <v>9.765848441E9</v>
      </c>
      <c r="F28" s="2" t="s">
        <v>171</v>
      </c>
      <c r="G28" s="2" t="s">
        <v>342</v>
      </c>
      <c r="H28" s="2" t="s">
        <v>343</v>
      </c>
      <c r="I28" s="2" t="s">
        <v>344</v>
      </c>
      <c r="J28" s="2" t="s">
        <v>162</v>
      </c>
      <c r="K28" s="2" t="s">
        <v>186</v>
      </c>
      <c r="L28" s="2" t="s">
        <v>66</v>
      </c>
      <c r="M28" s="9" t="s">
        <v>345</v>
      </c>
      <c r="N28" s="2" t="s">
        <v>81</v>
      </c>
      <c r="O28" s="2" t="s">
        <v>326</v>
      </c>
      <c r="P28" s="2" t="s">
        <v>50</v>
      </c>
      <c r="Q28" s="2" t="s">
        <v>50</v>
      </c>
      <c r="R28" s="2" t="s">
        <v>50</v>
      </c>
      <c r="S28" s="2" t="s">
        <v>50</v>
      </c>
      <c r="T28" s="2" t="s">
        <v>83</v>
      </c>
      <c r="U28" s="2" t="s">
        <v>50</v>
      </c>
      <c r="V28" s="11">
        <v>36932.0</v>
      </c>
      <c r="W28" s="2" t="s">
        <v>141</v>
      </c>
      <c r="X28" s="2" t="s">
        <v>50</v>
      </c>
      <c r="Y28" s="2" t="s">
        <v>143</v>
      </c>
      <c r="Z28" s="2" t="s">
        <v>50</v>
      </c>
      <c r="AA28" s="2" t="s">
        <v>50</v>
      </c>
      <c r="AB28" s="2" t="s">
        <v>50</v>
      </c>
      <c r="AC28" s="2" t="s">
        <v>346</v>
      </c>
      <c r="AD28" s="2">
        <v>3.0</v>
      </c>
      <c r="AE28" s="2">
        <v>3.0</v>
      </c>
      <c r="AF28" s="2">
        <v>3.0</v>
      </c>
      <c r="AG28" s="2">
        <v>550000.0</v>
      </c>
      <c r="AH28" s="2" t="s">
        <v>66</v>
      </c>
      <c r="AI28" s="2" t="s">
        <v>56</v>
      </c>
      <c r="AJ28" s="2">
        <v>550000.0</v>
      </c>
      <c r="AK28" s="8" t="s">
        <v>347</v>
      </c>
    </row>
    <row r="29">
      <c r="A29" s="2" t="s">
        <v>37</v>
      </c>
      <c r="B29" s="3">
        <v>46268.0</v>
      </c>
      <c r="C29" s="2" t="s">
        <v>348</v>
      </c>
      <c r="D29" s="2" t="s">
        <v>349</v>
      </c>
      <c r="E29" s="2">
        <v>8.179997607E9</v>
      </c>
      <c r="F29" s="2" t="s">
        <v>40</v>
      </c>
      <c r="G29" s="10" t="s">
        <v>350</v>
      </c>
      <c r="H29" s="2" t="s">
        <v>106</v>
      </c>
      <c r="I29" s="2" t="s">
        <v>50</v>
      </c>
      <c r="J29" s="2" t="s">
        <v>50</v>
      </c>
      <c r="K29" s="2" t="s">
        <v>199</v>
      </c>
      <c r="L29" s="2" t="s">
        <v>79</v>
      </c>
      <c r="M29" s="2" t="s">
        <v>351</v>
      </c>
      <c r="N29" s="2" t="s">
        <v>81</v>
      </c>
      <c r="O29" s="2" t="s">
        <v>352</v>
      </c>
      <c r="P29" s="2" t="s">
        <v>50</v>
      </c>
      <c r="Q29" s="2" t="s">
        <v>50</v>
      </c>
      <c r="R29" s="2" t="s">
        <v>50</v>
      </c>
      <c r="S29" s="2" t="s">
        <v>50</v>
      </c>
      <c r="T29" s="2" t="s">
        <v>83</v>
      </c>
      <c r="U29" s="2" t="s">
        <v>353</v>
      </c>
      <c r="V29" s="11">
        <v>35791.0</v>
      </c>
      <c r="W29" s="2" t="s">
        <v>50</v>
      </c>
      <c r="X29" s="2" t="s">
        <v>50</v>
      </c>
      <c r="Y29" s="2" t="s">
        <v>50</v>
      </c>
      <c r="Z29" s="2" t="s">
        <v>50</v>
      </c>
      <c r="AA29" s="2" t="s">
        <v>50</v>
      </c>
      <c r="AB29" s="2" t="s">
        <v>50</v>
      </c>
      <c r="AC29" s="2" t="s">
        <v>346</v>
      </c>
      <c r="AD29" s="2">
        <v>3.0</v>
      </c>
      <c r="AE29" s="2">
        <v>3.0</v>
      </c>
      <c r="AF29" s="2">
        <v>3.5</v>
      </c>
      <c r="AG29" s="2">
        <v>1200000.0</v>
      </c>
      <c r="AH29" s="2" t="s">
        <v>79</v>
      </c>
      <c r="AI29" s="2" t="s">
        <v>56</v>
      </c>
      <c r="AJ29" s="2">
        <v>600000.0</v>
      </c>
      <c r="AK29" s="8" t="s">
        <v>354</v>
      </c>
    </row>
    <row r="30">
      <c r="A30" s="2" t="s">
        <v>37</v>
      </c>
      <c r="B30" s="3">
        <v>46268.0</v>
      </c>
      <c r="C30" s="2" t="s">
        <v>355</v>
      </c>
      <c r="D30" s="2" t="s">
        <v>356</v>
      </c>
      <c r="E30" s="2">
        <v>9.699705634E9</v>
      </c>
      <c r="F30" s="2" t="s">
        <v>171</v>
      </c>
      <c r="G30" s="2" t="s">
        <v>357</v>
      </c>
      <c r="H30" s="2" t="s">
        <v>106</v>
      </c>
      <c r="I30" s="2" t="s">
        <v>92</v>
      </c>
      <c r="J30" s="2" t="s">
        <v>265</v>
      </c>
      <c r="K30" s="2" t="s">
        <v>50</v>
      </c>
      <c r="L30" s="2" t="s">
        <v>66</v>
      </c>
      <c r="M30" s="9" t="s">
        <v>358</v>
      </c>
      <c r="N30" s="5" t="s">
        <v>48</v>
      </c>
      <c r="O30" s="2" t="s">
        <v>359</v>
      </c>
      <c r="P30" s="2" t="s">
        <v>244</v>
      </c>
      <c r="Q30" s="2" t="s">
        <v>121</v>
      </c>
      <c r="R30" s="2" t="s">
        <v>50</v>
      </c>
      <c r="S30" s="2" t="s">
        <v>50</v>
      </c>
      <c r="T30" s="2" t="s">
        <v>51</v>
      </c>
      <c r="U30" s="2" t="s">
        <v>50</v>
      </c>
      <c r="V30" s="11">
        <v>35757.0</v>
      </c>
      <c r="W30" s="2" t="s">
        <v>52</v>
      </c>
      <c r="X30" s="2" t="s">
        <v>53</v>
      </c>
      <c r="Y30" s="2" t="s">
        <v>50</v>
      </c>
      <c r="Z30" s="2" t="s">
        <v>50</v>
      </c>
      <c r="AA30" s="2" t="s">
        <v>50</v>
      </c>
      <c r="AB30" s="2" t="s">
        <v>50</v>
      </c>
      <c r="AC30" s="2" t="s">
        <v>360</v>
      </c>
      <c r="AD30" s="2">
        <v>0.0</v>
      </c>
      <c r="AE30" s="2">
        <v>0.0</v>
      </c>
      <c r="AF30" s="2" t="s">
        <v>361</v>
      </c>
      <c r="AG30" s="2">
        <v>0.0</v>
      </c>
      <c r="AH30" s="2" t="s">
        <v>66</v>
      </c>
      <c r="AI30" s="2" t="s">
        <v>56</v>
      </c>
      <c r="AJ30" s="2">
        <v>0.0</v>
      </c>
      <c r="AK30" s="8" t="s">
        <v>362</v>
      </c>
    </row>
    <row r="31">
      <c r="A31" s="2" t="s">
        <v>37</v>
      </c>
      <c r="B31" s="3">
        <v>46268.0</v>
      </c>
      <c r="C31" s="2" t="s">
        <v>363</v>
      </c>
      <c r="D31" s="2" t="s">
        <v>364</v>
      </c>
      <c r="E31" s="2">
        <v>7.057906807E9</v>
      </c>
      <c r="F31" s="2" t="s">
        <v>171</v>
      </c>
      <c r="G31" s="10" t="s">
        <v>365</v>
      </c>
      <c r="H31" s="2" t="s">
        <v>366</v>
      </c>
      <c r="I31" s="2" t="s">
        <v>367</v>
      </c>
      <c r="J31" s="2" t="s">
        <v>368</v>
      </c>
      <c r="K31" s="2" t="s">
        <v>369</v>
      </c>
      <c r="L31" s="2" t="s">
        <v>46</v>
      </c>
      <c r="M31" s="9" t="s">
        <v>370</v>
      </c>
      <c r="N31" s="2" t="s">
        <v>81</v>
      </c>
      <c r="O31" s="2" t="s">
        <v>371</v>
      </c>
      <c r="P31" s="2" t="s">
        <v>50</v>
      </c>
      <c r="Q31" s="2" t="s">
        <v>50</v>
      </c>
      <c r="R31" s="2" t="s">
        <v>50</v>
      </c>
      <c r="S31" s="2" t="s">
        <v>50</v>
      </c>
      <c r="T31" s="2" t="s">
        <v>83</v>
      </c>
      <c r="U31" s="2" t="s">
        <v>372</v>
      </c>
      <c r="V31" s="11">
        <v>37134.0</v>
      </c>
      <c r="W31" s="2" t="s">
        <v>50</v>
      </c>
      <c r="X31" s="2" t="s">
        <v>50</v>
      </c>
      <c r="Y31" s="2" t="s">
        <v>50</v>
      </c>
      <c r="Z31" s="2" t="s">
        <v>50</v>
      </c>
      <c r="AA31" s="2" t="s">
        <v>50</v>
      </c>
      <c r="AB31" s="2" t="s">
        <v>50</v>
      </c>
      <c r="AC31" s="2" t="s">
        <v>373</v>
      </c>
      <c r="AD31" s="2">
        <v>2.5</v>
      </c>
      <c r="AE31" s="2">
        <v>2.5</v>
      </c>
      <c r="AF31" s="2">
        <v>2.5</v>
      </c>
      <c r="AG31" s="2">
        <v>700000.0</v>
      </c>
      <c r="AH31" s="2" t="s">
        <v>46</v>
      </c>
      <c r="AI31" s="2" t="s">
        <v>56</v>
      </c>
      <c r="AJ31" s="2">
        <v>380000.0</v>
      </c>
      <c r="AK31" s="8" t="s">
        <v>374</v>
      </c>
    </row>
    <row r="32">
      <c r="A32" s="2" t="s">
        <v>37</v>
      </c>
      <c r="B32" s="3">
        <v>46268.0</v>
      </c>
      <c r="C32" s="2" t="s">
        <v>375</v>
      </c>
      <c r="D32" s="2" t="s">
        <v>376</v>
      </c>
      <c r="E32" s="2">
        <v>7.030267145E9</v>
      </c>
      <c r="F32" s="2" t="s">
        <v>171</v>
      </c>
      <c r="G32" s="10" t="s">
        <v>377</v>
      </c>
      <c r="H32" s="2" t="s">
        <v>366</v>
      </c>
      <c r="I32" s="2" t="s">
        <v>107</v>
      </c>
      <c r="J32" s="2" t="s">
        <v>162</v>
      </c>
      <c r="K32" s="2" t="s">
        <v>65</v>
      </c>
      <c r="L32" s="2" t="s">
        <v>66</v>
      </c>
      <c r="M32" s="9" t="s">
        <v>378</v>
      </c>
      <c r="N32" s="5" t="s">
        <v>48</v>
      </c>
      <c r="O32" s="2" t="s">
        <v>69</v>
      </c>
      <c r="P32" s="2" t="s">
        <v>50</v>
      </c>
      <c r="Q32" s="2" t="s">
        <v>50</v>
      </c>
      <c r="R32" s="2" t="s">
        <v>50</v>
      </c>
      <c r="S32" s="2" t="s">
        <v>50</v>
      </c>
      <c r="T32" s="2" t="s">
        <v>83</v>
      </c>
      <c r="U32" s="2" t="s">
        <v>50</v>
      </c>
      <c r="V32" s="11">
        <v>38246.0</v>
      </c>
      <c r="W32" s="2" t="s">
        <v>50</v>
      </c>
      <c r="X32" s="2" t="s">
        <v>50</v>
      </c>
      <c r="Y32" s="2" t="s">
        <v>50</v>
      </c>
      <c r="Z32" s="2" t="s">
        <v>50</v>
      </c>
      <c r="AA32" s="2" t="s">
        <v>50</v>
      </c>
      <c r="AB32" s="2" t="s">
        <v>50</v>
      </c>
      <c r="AC32" s="2" t="s">
        <v>379</v>
      </c>
      <c r="AD32" s="2" t="s">
        <v>380</v>
      </c>
      <c r="AE32" s="2" t="s">
        <v>380</v>
      </c>
      <c r="AF32" s="2" t="s">
        <v>381</v>
      </c>
      <c r="AG32" s="2">
        <v>0.0</v>
      </c>
      <c r="AH32" s="2" t="s">
        <v>66</v>
      </c>
      <c r="AI32" s="2" t="s">
        <v>56</v>
      </c>
      <c r="AJ32" s="2">
        <v>480000.0</v>
      </c>
      <c r="AK32" s="8" t="s">
        <v>382</v>
      </c>
    </row>
    <row r="33">
      <c r="A33" s="2" t="s">
        <v>37</v>
      </c>
      <c r="B33" s="3">
        <v>46268.0</v>
      </c>
      <c r="C33" s="2" t="s">
        <v>383</v>
      </c>
      <c r="D33" s="2" t="s">
        <v>384</v>
      </c>
      <c r="E33" s="2">
        <v>6.205259659E9</v>
      </c>
      <c r="F33" s="2" t="s">
        <v>171</v>
      </c>
      <c r="G33" s="2" t="s">
        <v>385</v>
      </c>
      <c r="H33" s="2" t="s">
        <v>386</v>
      </c>
      <c r="I33" s="2" t="s">
        <v>387</v>
      </c>
      <c r="J33" s="2" t="s">
        <v>388</v>
      </c>
      <c r="K33" s="2" t="s">
        <v>163</v>
      </c>
      <c r="L33" s="2" t="s">
        <v>309</v>
      </c>
      <c r="M33" s="9" t="s">
        <v>389</v>
      </c>
      <c r="N33" s="2" t="s">
        <v>81</v>
      </c>
      <c r="O33" s="2" t="s">
        <v>390</v>
      </c>
      <c r="P33" s="2" t="s">
        <v>50</v>
      </c>
      <c r="Q33" s="2" t="s">
        <v>50</v>
      </c>
      <c r="R33" s="2" t="s">
        <v>50</v>
      </c>
      <c r="S33" s="2" t="s">
        <v>50</v>
      </c>
      <c r="T33" s="2" t="s">
        <v>51</v>
      </c>
      <c r="U33" s="2" t="s">
        <v>391</v>
      </c>
      <c r="V33" s="3">
        <v>35346.0</v>
      </c>
      <c r="W33" s="2" t="s">
        <v>52</v>
      </c>
      <c r="X33" s="2" t="s">
        <v>53</v>
      </c>
      <c r="Y33" s="2" t="s">
        <v>50</v>
      </c>
      <c r="Z33" s="2" t="s">
        <v>50</v>
      </c>
      <c r="AA33" s="2" t="s">
        <v>50</v>
      </c>
      <c r="AB33" s="2" t="s">
        <v>50</v>
      </c>
      <c r="AC33" s="2" t="s">
        <v>392</v>
      </c>
      <c r="AD33" s="2">
        <v>2.0</v>
      </c>
      <c r="AE33" s="2">
        <v>2.0</v>
      </c>
      <c r="AF33" s="2">
        <v>2.0</v>
      </c>
      <c r="AG33" s="2">
        <v>700000.0</v>
      </c>
      <c r="AH33" s="2" t="s">
        <v>309</v>
      </c>
      <c r="AI33" s="2" t="s">
        <v>56</v>
      </c>
      <c r="AJ33" s="2">
        <v>450000.0</v>
      </c>
      <c r="AK33" s="8" t="s">
        <v>393</v>
      </c>
    </row>
    <row r="34">
      <c r="A34" s="2" t="s">
        <v>37</v>
      </c>
      <c r="B34" s="3">
        <v>46268.0</v>
      </c>
      <c r="C34" s="2" t="s">
        <v>394</v>
      </c>
      <c r="D34" s="2" t="s">
        <v>395</v>
      </c>
      <c r="E34" s="2">
        <v>9.975493833E9</v>
      </c>
      <c r="F34" s="2" t="s">
        <v>89</v>
      </c>
      <c r="G34" s="10" t="s">
        <v>396</v>
      </c>
      <c r="H34" s="2" t="s">
        <v>397</v>
      </c>
      <c r="I34" s="2" t="s">
        <v>398</v>
      </c>
      <c r="J34" s="2" t="s">
        <v>296</v>
      </c>
      <c r="K34" s="2" t="s">
        <v>369</v>
      </c>
      <c r="L34" s="2" t="s">
        <v>79</v>
      </c>
      <c r="M34" s="2" t="s">
        <v>399</v>
      </c>
      <c r="N34" s="2" t="s">
        <v>81</v>
      </c>
      <c r="O34" s="2" t="s">
        <v>400</v>
      </c>
      <c r="P34" s="2" t="s">
        <v>50</v>
      </c>
      <c r="Q34" s="2" t="s">
        <v>50</v>
      </c>
      <c r="R34" s="2" t="s">
        <v>50</v>
      </c>
      <c r="S34" s="2" t="s">
        <v>50</v>
      </c>
      <c r="T34" s="2" t="s">
        <v>83</v>
      </c>
      <c r="U34" s="2" t="s">
        <v>401</v>
      </c>
      <c r="V34" s="3">
        <v>35250.0</v>
      </c>
      <c r="W34" s="2" t="s">
        <v>50</v>
      </c>
      <c r="X34" s="2" t="s">
        <v>50</v>
      </c>
      <c r="Y34" s="2" t="s">
        <v>50</v>
      </c>
      <c r="Z34" s="2" t="s">
        <v>50</v>
      </c>
      <c r="AA34" s="2" t="s">
        <v>50</v>
      </c>
      <c r="AB34" s="2" t="s">
        <v>50</v>
      </c>
      <c r="AC34" s="2" t="s">
        <v>402</v>
      </c>
      <c r="AD34" s="2">
        <v>0.0</v>
      </c>
      <c r="AE34" s="2">
        <v>0.0</v>
      </c>
      <c r="AF34" s="2">
        <v>0.0</v>
      </c>
      <c r="AG34" s="2">
        <v>550000.0</v>
      </c>
      <c r="AH34" s="2" t="s">
        <v>79</v>
      </c>
      <c r="AI34" s="2" t="s">
        <v>56</v>
      </c>
      <c r="AJ34" s="2">
        <v>380000.0</v>
      </c>
      <c r="AK34" s="8" t="s">
        <v>403</v>
      </c>
    </row>
    <row r="35">
      <c r="A35" s="2" t="s">
        <v>37</v>
      </c>
      <c r="B35" s="3">
        <v>46268.0</v>
      </c>
      <c r="C35" s="2" t="s">
        <v>404</v>
      </c>
      <c r="D35" s="2" t="s">
        <v>405</v>
      </c>
      <c r="E35" s="2">
        <v>7.989110131E9</v>
      </c>
      <c r="F35" s="2" t="s">
        <v>406</v>
      </c>
      <c r="G35" s="10" t="s">
        <v>407</v>
      </c>
      <c r="H35" s="2" t="s">
        <v>62</v>
      </c>
      <c r="I35" s="2" t="s">
        <v>408</v>
      </c>
      <c r="J35" s="2" t="s">
        <v>409</v>
      </c>
      <c r="K35" s="2" t="s">
        <v>65</v>
      </c>
      <c r="L35" s="2" t="s">
        <v>79</v>
      </c>
      <c r="M35" s="2" t="s">
        <v>410</v>
      </c>
      <c r="N35" s="2" t="s">
        <v>411</v>
      </c>
      <c r="O35" s="2" t="s">
        <v>412</v>
      </c>
      <c r="P35" s="2" t="s">
        <v>50</v>
      </c>
      <c r="Q35" s="2" t="s">
        <v>50</v>
      </c>
      <c r="R35" s="2" t="s">
        <v>50</v>
      </c>
      <c r="S35" s="2" t="s">
        <v>50</v>
      </c>
      <c r="T35" s="2" t="s">
        <v>83</v>
      </c>
      <c r="U35" s="2" t="s">
        <v>413</v>
      </c>
      <c r="V35" s="11">
        <v>37637.0</v>
      </c>
      <c r="W35" s="2" t="s">
        <v>50</v>
      </c>
      <c r="X35" s="2" t="s">
        <v>50</v>
      </c>
      <c r="Y35" s="2" t="s">
        <v>50</v>
      </c>
      <c r="Z35" s="2" t="s">
        <v>50</v>
      </c>
      <c r="AA35" s="2" t="s">
        <v>50</v>
      </c>
      <c r="AB35" s="2" t="s">
        <v>50</v>
      </c>
      <c r="AC35" s="2" t="s">
        <v>414</v>
      </c>
      <c r="AD35" s="2">
        <v>4.0</v>
      </c>
      <c r="AE35" s="2">
        <v>4.0</v>
      </c>
      <c r="AF35" s="2">
        <v>4.0</v>
      </c>
      <c r="AG35" s="2">
        <v>700000.0</v>
      </c>
      <c r="AH35" s="2" t="s">
        <v>79</v>
      </c>
      <c r="AI35" s="2" t="s">
        <v>56</v>
      </c>
      <c r="AJ35" s="2">
        <v>480000.0</v>
      </c>
      <c r="AK35" s="8" t="s">
        <v>415</v>
      </c>
    </row>
    <row r="36">
      <c r="A36" s="2" t="s">
        <v>37</v>
      </c>
      <c r="B36" s="3">
        <v>46268.0</v>
      </c>
      <c r="C36" s="2" t="s">
        <v>416</v>
      </c>
      <c r="D36" s="2" t="s">
        <v>417</v>
      </c>
      <c r="E36" s="2">
        <v>7.796485002E9</v>
      </c>
      <c r="F36" s="2" t="s">
        <v>89</v>
      </c>
      <c r="G36" s="2" t="s">
        <v>418</v>
      </c>
      <c r="H36" s="2" t="s">
        <v>366</v>
      </c>
      <c r="I36" s="2" t="s">
        <v>419</v>
      </c>
      <c r="J36" s="2" t="s">
        <v>296</v>
      </c>
      <c r="K36" s="2" t="s">
        <v>420</v>
      </c>
      <c r="L36" s="2" t="s">
        <v>95</v>
      </c>
      <c r="M36" s="2" t="s">
        <v>421</v>
      </c>
      <c r="N36" s="2" t="s">
        <v>68</v>
      </c>
      <c r="O36" s="2" t="s">
        <v>422</v>
      </c>
      <c r="P36" s="2" t="s">
        <v>50</v>
      </c>
      <c r="Q36" s="2" t="s">
        <v>50</v>
      </c>
      <c r="R36" s="2" t="s">
        <v>50</v>
      </c>
      <c r="S36" s="2" t="s">
        <v>50</v>
      </c>
      <c r="T36" s="2" t="s">
        <v>51</v>
      </c>
      <c r="U36" s="2" t="s">
        <v>50</v>
      </c>
      <c r="V36" s="11">
        <v>36847.0</v>
      </c>
      <c r="W36" s="2" t="s">
        <v>52</v>
      </c>
      <c r="X36" s="2" t="s">
        <v>53</v>
      </c>
      <c r="Y36" s="2" t="s">
        <v>50</v>
      </c>
      <c r="Z36" s="2" t="s">
        <v>50</v>
      </c>
      <c r="AA36" s="2" t="s">
        <v>50</v>
      </c>
      <c r="AB36" s="2" t="s">
        <v>50</v>
      </c>
      <c r="AC36" s="2" t="s">
        <v>423</v>
      </c>
      <c r="AD36" s="2">
        <v>0.0</v>
      </c>
      <c r="AE36" s="2">
        <v>2.0</v>
      </c>
      <c r="AF36" s="2">
        <v>2.0</v>
      </c>
      <c r="AG36" s="2">
        <v>0.0</v>
      </c>
      <c r="AH36" s="2" t="s">
        <v>100</v>
      </c>
      <c r="AI36" s="2" t="s">
        <v>144</v>
      </c>
      <c r="AJ36" s="2">
        <v>350000.0</v>
      </c>
      <c r="AK36" s="8" t="s">
        <v>424</v>
      </c>
    </row>
    <row r="37">
      <c r="A37" s="2" t="s">
        <v>37</v>
      </c>
      <c r="B37" s="3">
        <v>46268.0</v>
      </c>
      <c r="C37" s="2" t="s">
        <v>425</v>
      </c>
      <c r="D37" s="2" t="s">
        <v>426</v>
      </c>
      <c r="E37" s="2">
        <v>9.373076575E9</v>
      </c>
      <c r="F37" s="2" t="s">
        <v>89</v>
      </c>
      <c r="G37" s="10" t="s">
        <v>427</v>
      </c>
      <c r="H37" s="2" t="s">
        <v>231</v>
      </c>
      <c r="I37" s="2" t="s">
        <v>428</v>
      </c>
      <c r="J37" s="2" t="s">
        <v>429</v>
      </c>
      <c r="K37" s="2" t="s">
        <v>430</v>
      </c>
      <c r="L37" s="2" t="s">
        <v>66</v>
      </c>
      <c r="M37" s="2" t="s">
        <v>431</v>
      </c>
      <c r="N37" s="2" t="s">
        <v>81</v>
      </c>
      <c r="O37" s="2" t="s">
        <v>432</v>
      </c>
      <c r="P37" s="2" t="s">
        <v>50</v>
      </c>
      <c r="Q37" s="2" t="s">
        <v>50</v>
      </c>
      <c r="R37" s="2" t="s">
        <v>50</v>
      </c>
      <c r="S37" s="2" t="s">
        <v>50</v>
      </c>
      <c r="T37" s="2" t="s">
        <v>83</v>
      </c>
      <c r="U37" s="2" t="s">
        <v>89</v>
      </c>
      <c r="V37" s="11">
        <v>37210.0</v>
      </c>
      <c r="W37" s="2" t="s">
        <v>50</v>
      </c>
      <c r="X37" s="2" t="s">
        <v>50</v>
      </c>
      <c r="Y37" s="2" t="s">
        <v>50</v>
      </c>
      <c r="Z37" s="2" t="s">
        <v>50</v>
      </c>
      <c r="AA37" s="2" t="s">
        <v>50</v>
      </c>
      <c r="AB37" s="2" t="s">
        <v>50</v>
      </c>
      <c r="AC37" s="2" t="s">
        <v>433</v>
      </c>
      <c r="AD37" s="2">
        <v>2.0</v>
      </c>
      <c r="AE37" s="2">
        <v>2.0</v>
      </c>
      <c r="AF37" s="2">
        <v>2.0</v>
      </c>
      <c r="AG37" s="2">
        <v>0.0</v>
      </c>
      <c r="AH37" s="2" t="s">
        <v>66</v>
      </c>
      <c r="AI37" s="2" t="s">
        <v>56</v>
      </c>
      <c r="AJ37" s="2">
        <v>727000.0</v>
      </c>
      <c r="AK37" s="8" t="s">
        <v>434</v>
      </c>
    </row>
    <row r="38">
      <c r="A38" s="2" t="s">
        <v>37</v>
      </c>
      <c r="B38" s="3">
        <v>46268.0</v>
      </c>
      <c r="C38" s="2" t="s">
        <v>435</v>
      </c>
      <c r="D38" s="2" t="s">
        <v>436</v>
      </c>
      <c r="E38" s="2">
        <v>9.2252833E9</v>
      </c>
      <c r="F38" s="2" t="s">
        <v>171</v>
      </c>
      <c r="G38" s="10" t="s">
        <v>377</v>
      </c>
      <c r="H38" s="2" t="s">
        <v>366</v>
      </c>
      <c r="I38" s="2" t="s">
        <v>107</v>
      </c>
      <c r="J38" s="2" t="s">
        <v>108</v>
      </c>
      <c r="K38" s="2" t="s">
        <v>186</v>
      </c>
      <c r="L38" s="2" t="s">
        <v>66</v>
      </c>
      <c r="M38" s="9" t="s">
        <v>437</v>
      </c>
      <c r="N38" s="2" t="s">
        <v>68</v>
      </c>
      <c r="O38" s="2" t="s">
        <v>175</v>
      </c>
      <c r="P38" s="2" t="s">
        <v>50</v>
      </c>
      <c r="Q38" s="2" t="s">
        <v>50</v>
      </c>
      <c r="R38" s="2" t="s">
        <v>50</v>
      </c>
      <c r="S38" s="2" t="s">
        <v>50</v>
      </c>
      <c r="T38" s="2" t="s">
        <v>83</v>
      </c>
      <c r="U38" s="2" t="s">
        <v>50</v>
      </c>
      <c r="V38" s="11">
        <v>36940.0</v>
      </c>
      <c r="W38" s="2" t="s">
        <v>50</v>
      </c>
      <c r="X38" s="2" t="s">
        <v>50</v>
      </c>
      <c r="Y38" s="2" t="s">
        <v>50</v>
      </c>
      <c r="Z38" s="2" t="s">
        <v>50</v>
      </c>
      <c r="AA38" s="2" t="s">
        <v>50</v>
      </c>
      <c r="AB38" s="2" t="s">
        <v>50</v>
      </c>
      <c r="AC38" s="2" t="s">
        <v>438</v>
      </c>
      <c r="AD38" s="2">
        <v>2.0</v>
      </c>
      <c r="AE38" s="2">
        <v>2.0</v>
      </c>
      <c r="AF38" s="2">
        <v>1.0</v>
      </c>
      <c r="AG38" s="2">
        <v>0.0</v>
      </c>
      <c r="AH38" s="2" t="s">
        <v>66</v>
      </c>
      <c r="AI38" s="2" t="s">
        <v>56</v>
      </c>
      <c r="AJ38" s="2">
        <v>550000.0</v>
      </c>
      <c r="AK38" s="8" t="s">
        <v>439</v>
      </c>
    </row>
    <row r="39">
      <c r="A39" s="2" t="s">
        <v>37</v>
      </c>
      <c r="B39" s="3">
        <v>46268.0</v>
      </c>
      <c r="C39" s="19" t="s">
        <v>440</v>
      </c>
      <c r="D39" s="2" t="s">
        <v>441</v>
      </c>
      <c r="E39" s="2" t="s">
        <v>442</v>
      </c>
      <c r="F39" s="2" t="s">
        <v>40</v>
      </c>
      <c r="G39" s="10" t="s">
        <v>443</v>
      </c>
      <c r="H39" s="2" t="s">
        <v>444</v>
      </c>
      <c r="I39" s="2" t="s">
        <v>445</v>
      </c>
      <c r="J39" s="2" t="s">
        <v>446</v>
      </c>
      <c r="K39" s="2" t="s">
        <v>447</v>
      </c>
      <c r="L39" s="2" t="s">
        <v>79</v>
      </c>
      <c r="M39" s="2" t="s">
        <v>448</v>
      </c>
      <c r="N39" s="2" t="s">
        <v>81</v>
      </c>
      <c r="O39" s="2" t="s">
        <v>449</v>
      </c>
      <c r="P39" s="2" t="s">
        <v>50</v>
      </c>
      <c r="Q39" s="2" t="s">
        <v>50</v>
      </c>
      <c r="R39" s="2" t="s">
        <v>50</v>
      </c>
      <c r="S39" s="2" t="s">
        <v>50</v>
      </c>
      <c r="T39" s="2" t="s">
        <v>83</v>
      </c>
      <c r="U39" s="2" t="s">
        <v>40</v>
      </c>
      <c r="V39" s="11">
        <v>35898.0</v>
      </c>
      <c r="W39" s="2" t="s">
        <v>50</v>
      </c>
      <c r="X39" s="2" t="s">
        <v>50</v>
      </c>
      <c r="Y39" s="2" t="s">
        <v>50</v>
      </c>
      <c r="Z39" s="2" t="s">
        <v>50</v>
      </c>
      <c r="AA39" s="2" t="s">
        <v>50</v>
      </c>
      <c r="AB39" s="2" t="s">
        <v>50</v>
      </c>
      <c r="AC39" s="2" t="s">
        <v>450</v>
      </c>
      <c r="AD39" s="2">
        <v>5.0</v>
      </c>
      <c r="AE39" s="2">
        <v>5.0</v>
      </c>
      <c r="AF39" s="2">
        <v>5.0</v>
      </c>
      <c r="AG39" s="2">
        <v>580000.0</v>
      </c>
      <c r="AH39" s="2" t="s">
        <v>79</v>
      </c>
      <c r="AI39" s="2" t="s">
        <v>56</v>
      </c>
      <c r="AJ39" s="2">
        <v>580000.0</v>
      </c>
      <c r="AK39" s="8" t="s">
        <v>451</v>
      </c>
    </row>
    <row r="40">
      <c r="A40" s="2" t="s">
        <v>37</v>
      </c>
      <c r="B40" s="3">
        <v>46268.0</v>
      </c>
      <c r="C40" s="15" t="s">
        <v>452</v>
      </c>
      <c r="D40" s="2" t="s">
        <v>453</v>
      </c>
      <c r="E40" s="2">
        <v>9.075651565E9</v>
      </c>
      <c r="F40" s="2" t="s">
        <v>171</v>
      </c>
      <c r="G40" s="2" t="s">
        <v>454</v>
      </c>
      <c r="H40" s="2" t="s">
        <v>343</v>
      </c>
      <c r="I40" s="2" t="s">
        <v>455</v>
      </c>
      <c r="J40" s="2" t="s">
        <v>108</v>
      </c>
      <c r="K40" s="2" t="s">
        <v>109</v>
      </c>
      <c r="L40" s="2" t="s">
        <v>66</v>
      </c>
      <c r="M40" s="9" t="s">
        <v>456</v>
      </c>
      <c r="N40" s="2" t="s">
        <v>50</v>
      </c>
      <c r="O40" s="2" t="s">
        <v>50</v>
      </c>
      <c r="P40" s="2" t="s">
        <v>457</v>
      </c>
      <c r="Q40" s="2" t="s">
        <v>111</v>
      </c>
      <c r="R40" s="2" t="s">
        <v>50</v>
      </c>
      <c r="S40" s="2" t="s">
        <v>50</v>
      </c>
      <c r="T40" s="2" t="s">
        <v>83</v>
      </c>
      <c r="U40" s="2" t="s">
        <v>458</v>
      </c>
      <c r="V40" s="11">
        <v>36037.0</v>
      </c>
      <c r="W40" s="2" t="s">
        <v>141</v>
      </c>
      <c r="X40" s="2" t="s">
        <v>50</v>
      </c>
      <c r="Y40" s="2" t="s">
        <v>143</v>
      </c>
      <c r="Z40" s="2" t="s">
        <v>50</v>
      </c>
      <c r="AA40" s="2" t="s">
        <v>50</v>
      </c>
      <c r="AB40" s="2" t="s">
        <v>50</v>
      </c>
      <c r="AC40" s="2" t="s">
        <v>459</v>
      </c>
      <c r="AD40" s="2">
        <v>1.0</v>
      </c>
      <c r="AE40" s="2" t="s">
        <v>460</v>
      </c>
      <c r="AF40" s="2">
        <v>1.0</v>
      </c>
      <c r="AG40" s="2">
        <v>900000.0</v>
      </c>
      <c r="AH40" s="2" t="s">
        <v>66</v>
      </c>
      <c r="AI40" s="2" t="s">
        <v>56</v>
      </c>
      <c r="AJ40" s="2">
        <v>560000.0</v>
      </c>
      <c r="AK40" s="8" t="s">
        <v>461</v>
      </c>
    </row>
    <row r="41">
      <c r="A41" s="2" t="s">
        <v>37</v>
      </c>
      <c r="B41" s="3">
        <v>46267.0</v>
      </c>
      <c r="C41" s="2" t="s">
        <v>462</v>
      </c>
      <c r="D41" s="2" t="s">
        <v>463</v>
      </c>
      <c r="E41" s="2" t="s">
        <v>464</v>
      </c>
      <c r="F41" s="2" t="s">
        <v>89</v>
      </c>
      <c r="G41" s="10" t="s">
        <v>315</v>
      </c>
      <c r="H41" s="2" t="s">
        <v>183</v>
      </c>
      <c r="I41" s="2" t="s">
        <v>465</v>
      </c>
      <c r="J41" s="2" t="s">
        <v>265</v>
      </c>
      <c r="K41" s="2" t="s">
        <v>420</v>
      </c>
      <c r="L41" s="2" t="s">
        <v>79</v>
      </c>
      <c r="M41" s="2" t="s">
        <v>466</v>
      </c>
      <c r="N41" s="2" t="s">
        <v>81</v>
      </c>
      <c r="O41" s="2" t="s">
        <v>467</v>
      </c>
      <c r="P41" s="2" t="s">
        <v>50</v>
      </c>
      <c r="Q41" s="2" t="s">
        <v>50</v>
      </c>
      <c r="R41" s="2" t="s">
        <v>50</v>
      </c>
      <c r="S41" s="2" t="s">
        <v>50</v>
      </c>
      <c r="T41" s="2" t="s">
        <v>83</v>
      </c>
      <c r="U41" s="2" t="s">
        <v>468</v>
      </c>
      <c r="V41" s="17">
        <v>35557.0</v>
      </c>
      <c r="W41" s="2" t="s">
        <v>50</v>
      </c>
      <c r="X41" s="2" t="s">
        <v>50</v>
      </c>
      <c r="Y41" s="2" t="s">
        <v>50</v>
      </c>
      <c r="Z41" s="2" t="s">
        <v>50</v>
      </c>
      <c r="AA41" s="2" t="s">
        <v>50</v>
      </c>
      <c r="AB41" s="2" t="s">
        <v>50</v>
      </c>
      <c r="AC41" s="2" t="s">
        <v>469</v>
      </c>
      <c r="AD41" s="2">
        <v>3.0</v>
      </c>
      <c r="AE41" s="2">
        <v>3.0</v>
      </c>
      <c r="AF41" s="2">
        <v>3.0</v>
      </c>
      <c r="AG41" s="2">
        <v>350000.0</v>
      </c>
      <c r="AH41" s="2" t="s">
        <v>79</v>
      </c>
      <c r="AI41" s="2" t="s">
        <v>56</v>
      </c>
      <c r="AJ41" s="2">
        <v>350000.0</v>
      </c>
      <c r="AK41" s="8" t="s">
        <v>470</v>
      </c>
    </row>
    <row r="42">
      <c r="A42" s="2" t="s">
        <v>37</v>
      </c>
      <c r="B42" s="3">
        <v>46267.0</v>
      </c>
      <c r="C42" s="2" t="s">
        <v>471</v>
      </c>
      <c r="D42" s="2" t="s">
        <v>472</v>
      </c>
      <c r="E42" s="2">
        <v>9.167759377E9</v>
      </c>
      <c r="F42" s="2" t="s">
        <v>171</v>
      </c>
      <c r="G42" s="10" t="s">
        <v>473</v>
      </c>
      <c r="H42" s="2" t="s">
        <v>183</v>
      </c>
      <c r="I42" s="2" t="s">
        <v>161</v>
      </c>
      <c r="J42" s="2" t="s">
        <v>162</v>
      </c>
      <c r="K42" s="2" t="s">
        <v>474</v>
      </c>
      <c r="L42" s="2" t="s">
        <v>95</v>
      </c>
      <c r="M42" s="9" t="s">
        <v>475</v>
      </c>
      <c r="N42" s="2" t="s">
        <v>81</v>
      </c>
      <c r="O42" s="2" t="s">
        <v>476</v>
      </c>
      <c r="P42" s="2" t="s">
        <v>50</v>
      </c>
      <c r="Q42" s="2" t="s">
        <v>50</v>
      </c>
      <c r="R42" s="2" t="s">
        <v>50</v>
      </c>
      <c r="S42" s="2" t="s">
        <v>50</v>
      </c>
      <c r="T42" s="2" t="s">
        <v>83</v>
      </c>
      <c r="U42" s="2" t="s">
        <v>50</v>
      </c>
      <c r="V42" s="3">
        <v>37110.0</v>
      </c>
      <c r="W42" s="2" t="s">
        <v>50</v>
      </c>
      <c r="X42" s="2" t="s">
        <v>166</v>
      </c>
      <c r="Y42" s="2" t="s">
        <v>50</v>
      </c>
      <c r="Z42" s="2" t="s">
        <v>50</v>
      </c>
      <c r="AA42" s="2" t="s">
        <v>50</v>
      </c>
      <c r="AB42" s="2" t="s">
        <v>50</v>
      </c>
      <c r="AC42" s="2" t="s">
        <v>477</v>
      </c>
      <c r="AD42" s="2">
        <v>2.5</v>
      </c>
      <c r="AE42" s="2">
        <v>2.5</v>
      </c>
      <c r="AF42" s="2">
        <v>2.5</v>
      </c>
      <c r="AG42" s="2">
        <v>750000.0</v>
      </c>
      <c r="AH42" s="2" t="s">
        <v>100</v>
      </c>
      <c r="AI42" s="2" t="s">
        <v>56</v>
      </c>
      <c r="AJ42" s="2">
        <v>465000.0</v>
      </c>
      <c r="AK42" s="8" t="s">
        <v>478</v>
      </c>
    </row>
    <row r="43">
      <c r="A43" s="2" t="s">
        <v>37</v>
      </c>
      <c r="B43" s="3">
        <v>46267.0</v>
      </c>
      <c r="C43" s="2" t="s">
        <v>479</v>
      </c>
      <c r="D43" s="2" t="s">
        <v>480</v>
      </c>
      <c r="E43" s="2">
        <v>6.303410585E9</v>
      </c>
      <c r="F43" s="2" t="s">
        <v>40</v>
      </c>
      <c r="G43" s="10" t="s">
        <v>481</v>
      </c>
      <c r="H43" s="2" t="s">
        <v>334</v>
      </c>
      <c r="I43" s="2" t="s">
        <v>50</v>
      </c>
      <c r="J43" s="2" t="s">
        <v>50</v>
      </c>
      <c r="K43" s="2" t="s">
        <v>131</v>
      </c>
      <c r="L43" s="2" t="s">
        <v>79</v>
      </c>
      <c r="M43" s="2" t="s">
        <v>482</v>
      </c>
      <c r="N43" s="2" t="s">
        <v>81</v>
      </c>
      <c r="O43" s="2" t="s">
        <v>449</v>
      </c>
      <c r="P43" s="2" t="s">
        <v>50</v>
      </c>
      <c r="Q43" s="2" t="s">
        <v>50</v>
      </c>
      <c r="R43" s="2" t="s">
        <v>50</v>
      </c>
      <c r="S43" s="2" t="s">
        <v>50</v>
      </c>
      <c r="T43" s="2" t="s">
        <v>83</v>
      </c>
      <c r="U43" s="2" t="s">
        <v>40</v>
      </c>
      <c r="V43" s="11">
        <v>33799.0</v>
      </c>
      <c r="W43" s="2" t="s">
        <v>50</v>
      </c>
      <c r="X43" s="2" t="s">
        <v>50</v>
      </c>
      <c r="Y43" s="2" t="s">
        <v>50</v>
      </c>
      <c r="Z43" s="2" t="s">
        <v>50</v>
      </c>
      <c r="AA43" s="2" t="s">
        <v>50</v>
      </c>
      <c r="AB43" s="2" t="s">
        <v>50</v>
      </c>
      <c r="AC43" s="2" t="s">
        <v>483</v>
      </c>
      <c r="AD43" s="2">
        <v>3.0</v>
      </c>
      <c r="AE43" s="2">
        <v>3.0</v>
      </c>
      <c r="AF43" s="2">
        <v>3.0</v>
      </c>
      <c r="AG43" s="2">
        <v>850000.0</v>
      </c>
      <c r="AH43" s="2" t="s">
        <v>79</v>
      </c>
      <c r="AI43" s="2" t="s">
        <v>56</v>
      </c>
      <c r="AJ43" s="2">
        <v>500200.0</v>
      </c>
      <c r="AK43" s="8" t="s">
        <v>484</v>
      </c>
    </row>
    <row r="44">
      <c r="A44" s="2" t="s">
        <v>37</v>
      </c>
      <c r="B44" s="3">
        <v>46267.0</v>
      </c>
      <c r="C44" s="2" t="s">
        <v>485</v>
      </c>
      <c r="D44" s="2" t="s">
        <v>486</v>
      </c>
      <c r="E44" s="2">
        <v>7.828438017E9</v>
      </c>
      <c r="F44" s="2" t="s">
        <v>89</v>
      </c>
      <c r="G44" s="2" t="s">
        <v>487</v>
      </c>
      <c r="H44" s="2" t="s">
        <v>488</v>
      </c>
      <c r="I44" s="2" t="s">
        <v>63</v>
      </c>
      <c r="J44" s="2" t="s">
        <v>489</v>
      </c>
      <c r="K44" s="2" t="s">
        <v>490</v>
      </c>
      <c r="L44" s="2" t="s">
        <v>66</v>
      </c>
      <c r="M44" s="2" t="s">
        <v>491</v>
      </c>
      <c r="N44" s="5" t="s">
        <v>48</v>
      </c>
      <c r="O44" s="2" t="s">
        <v>492</v>
      </c>
      <c r="P44" s="2" t="s">
        <v>244</v>
      </c>
      <c r="Q44" s="2" t="s">
        <v>493</v>
      </c>
      <c r="R44" s="2" t="s">
        <v>50</v>
      </c>
      <c r="S44" s="2" t="s">
        <v>50</v>
      </c>
      <c r="T44" s="2" t="s">
        <v>51</v>
      </c>
      <c r="U44" s="2" t="s">
        <v>494</v>
      </c>
      <c r="V44" s="11">
        <v>37277.0</v>
      </c>
      <c r="W44" s="2" t="s">
        <v>52</v>
      </c>
      <c r="X44" s="2" t="s">
        <v>53</v>
      </c>
      <c r="Y44" s="2" t="s">
        <v>50</v>
      </c>
      <c r="Z44" s="2" t="s">
        <v>50</v>
      </c>
      <c r="AA44" s="2" t="s">
        <v>50</v>
      </c>
      <c r="AB44" s="2" t="s">
        <v>50</v>
      </c>
      <c r="AC44" s="2" t="s">
        <v>495</v>
      </c>
      <c r="AD44" s="2">
        <v>2.0</v>
      </c>
      <c r="AE44" s="2">
        <v>2.0</v>
      </c>
      <c r="AF44" s="2">
        <v>2.0</v>
      </c>
      <c r="AG44" s="2">
        <v>1200000.0</v>
      </c>
      <c r="AH44" s="2" t="s">
        <v>66</v>
      </c>
      <c r="AI44" s="2" t="s">
        <v>56</v>
      </c>
      <c r="AJ44" s="2">
        <v>300000.0</v>
      </c>
      <c r="AK44" s="8" t="s">
        <v>496</v>
      </c>
    </row>
    <row r="45">
      <c r="A45" s="2" t="s">
        <v>37</v>
      </c>
      <c r="B45" s="3">
        <v>46267.0</v>
      </c>
      <c r="C45" s="2" t="s">
        <v>497</v>
      </c>
      <c r="D45" s="2" t="s">
        <v>498</v>
      </c>
      <c r="E45" s="2">
        <v>7.036489246E9</v>
      </c>
      <c r="F45" s="2" t="s">
        <v>40</v>
      </c>
      <c r="G45" s="10" t="s">
        <v>499</v>
      </c>
      <c r="H45" s="2" t="s">
        <v>343</v>
      </c>
      <c r="I45" s="2" t="s">
        <v>500</v>
      </c>
      <c r="J45" s="2" t="s">
        <v>501</v>
      </c>
      <c r="K45" s="2" t="s">
        <v>502</v>
      </c>
      <c r="L45" s="2" t="s">
        <v>79</v>
      </c>
      <c r="M45" s="2" t="s">
        <v>503</v>
      </c>
      <c r="N45" s="2" t="s">
        <v>68</v>
      </c>
      <c r="O45" s="2" t="s">
        <v>504</v>
      </c>
      <c r="P45" s="2" t="s">
        <v>50</v>
      </c>
      <c r="Q45" s="2" t="s">
        <v>50</v>
      </c>
      <c r="R45" s="2" t="s">
        <v>50</v>
      </c>
      <c r="S45" s="2" t="s">
        <v>50</v>
      </c>
      <c r="T45" s="2" t="s">
        <v>83</v>
      </c>
      <c r="U45" s="2" t="s">
        <v>50</v>
      </c>
      <c r="V45" s="14">
        <v>37763.0</v>
      </c>
      <c r="W45" s="2" t="s">
        <v>50</v>
      </c>
      <c r="X45" s="2" t="s">
        <v>50</v>
      </c>
      <c r="Y45" s="2" t="s">
        <v>50</v>
      </c>
      <c r="Z45" s="2" t="s">
        <v>50</v>
      </c>
      <c r="AA45" s="2" t="s">
        <v>50</v>
      </c>
      <c r="AB45" s="2" t="s">
        <v>50</v>
      </c>
      <c r="AC45" s="2" t="s">
        <v>167</v>
      </c>
      <c r="AD45" s="2">
        <v>3.0</v>
      </c>
      <c r="AE45" s="2">
        <v>3.0</v>
      </c>
      <c r="AF45" s="2">
        <v>3.0</v>
      </c>
      <c r="AG45" s="2">
        <v>600000.0</v>
      </c>
      <c r="AH45" s="2" t="s">
        <v>79</v>
      </c>
      <c r="AI45" s="2" t="s">
        <v>56</v>
      </c>
      <c r="AJ45" s="2">
        <v>400000.0</v>
      </c>
      <c r="AK45" s="8" t="s">
        <v>505</v>
      </c>
    </row>
    <row r="46">
      <c r="A46" s="2" t="s">
        <v>37</v>
      </c>
      <c r="B46" s="3">
        <v>46267.0</v>
      </c>
      <c r="C46" s="2" t="s">
        <v>506</v>
      </c>
      <c r="D46" s="2" t="s">
        <v>507</v>
      </c>
      <c r="E46" s="2">
        <v>7.875052391E9</v>
      </c>
      <c r="F46" s="2" t="s">
        <v>171</v>
      </c>
      <c r="G46" s="10" t="s">
        <v>508</v>
      </c>
      <c r="H46" s="2" t="s">
        <v>509</v>
      </c>
      <c r="I46" s="2" t="s">
        <v>510</v>
      </c>
      <c r="J46" s="2" t="s">
        <v>296</v>
      </c>
      <c r="K46" s="2" t="s">
        <v>511</v>
      </c>
      <c r="L46" s="2" t="s">
        <v>66</v>
      </c>
      <c r="M46" s="9" t="s">
        <v>512</v>
      </c>
      <c r="N46" s="5" t="s">
        <v>48</v>
      </c>
      <c r="O46" s="2" t="s">
        <v>513</v>
      </c>
      <c r="P46" s="2" t="s">
        <v>50</v>
      </c>
      <c r="Q46" s="2" t="s">
        <v>50</v>
      </c>
      <c r="R46" s="2" t="s">
        <v>50</v>
      </c>
      <c r="S46" s="2" t="s">
        <v>50</v>
      </c>
      <c r="T46" s="2" t="s">
        <v>83</v>
      </c>
      <c r="U46" s="2" t="s">
        <v>514</v>
      </c>
      <c r="V46" s="3">
        <v>34214.0</v>
      </c>
      <c r="W46" s="2" t="s">
        <v>50</v>
      </c>
      <c r="X46" s="2" t="s">
        <v>50</v>
      </c>
      <c r="Y46" s="2" t="s">
        <v>50</v>
      </c>
      <c r="Z46" s="2" t="s">
        <v>50</v>
      </c>
      <c r="AA46" s="2" t="s">
        <v>50</v>
      </c>
      <c r="AB46" s="2" t="s">
        <v>50</v>
      </c>
      <c r="AC46" s="2" t="s">
        <v>515</v>
      </c>
      <c r="AD46" s="2">
        <v>0.0</v>
      </c>
      <c r="AE46" s="2">
        <v>0.0</v>
      </c>
      <c r="AF46" s="2">
        <v>0.0</v>
      </c>
      <c r="AG46" s="2">
        <v>1200000.0</v>
      </c>
      <c r="AH46" s="2" t="s">
        <v>66</v>
      </c>
      <c r="AI46" s="2" t="s">
        <v>56</v>
      </c>
      <c r="AJ46" s="2">
        <v>900000.0</v>
      </c>
      <c r="AK46" s="8" t="s">
        <v>516</v>
      </c>
    </row>
    <row r="47">
      <c r="A47" s="2" t="s">
        <v>37</v>
      </c>
      <c r="B47" s="3">
        <v>46267.0</v>
      </c>
      <c r="C47" s="2" t="s">
        <v>517</v>
      </c>
      <c r="D47" s="2" t="s">
        <v>518</v>
      </c>
      <c r="E47" s="2" t="s">
        <v>519</v>
      </c>
      <c r="F47" s="2" t="s">
        <v>89</v>
      </c>
      <c r="G47" s="2" t="s">
        <v>520</v>
      </c>
      <c r="H47" s="2" t="s">
        <v>521</v>
      </c>
      <c r="I47" s="2" t="s">
        <v>522</v>
      </c>
      <c r="J47" s="2" t="s">
        <v>523</v>
      </c>
      <c r="K47" s="2" t="s">
        <v>524</v>
      </c>
      <c r="L47" s="2" t="s">
        <v>79</v>
      </c>
      <c r="M47" s="2" t="s">
        <v>525</v>
      </c>
      <c r="N47" s="2" t="s">
        <v>81</v>
      </c>
      <c r="O47" s="2" t="s">
        <v>526</v>
      </c>
      <c r="P47" s="2" t="s">
        <v>50</v>
      </c>
      <c r="Q47" s="2" t="s">
        <v>50</v>
      </c>
      <c r="R47" s="2" t="s">
        <v>50</v>
      </c>
      <c r="S47" s="2" t="s">
        <v>50</v>
      </c>
      <c r="T47" s="2" t="s">
        <v>51</v>
      </c>
      <c r="U47" s="2" t="s">
        <v>527</v>
      </c>
      <c r="V47" s="3">
        <v>35034.0</v>
      </c>
      <c r="W47" s="2" t="s">
        <v>52</v>
      </c>
      <c r="X47" s="2" t="s">
        <v>53</v>
      </c>
      <c r="Y47" s="2" t="s">
        <v>50</v>
      </c>
      <c r="Z47" s="2" t="s">
        <v>50</v>
      </c>
      <c r="AA47" s="2" t="s">
        <v>50</v>
      </c>
      <c r="AB47" s="2" t="s">
        <v>50</v>
      </c>
      <c r="AC47" s="2" t="s">
        <v>528</v>
      </c>
      <c r="AD47" s="2">
        <v>5.0</v>
      </c>
      <c r="AE47" s="2">
        <v>5.0</v>
      </c>
      <c r="AF47" s="2">
        <v>6.0</v>
      </c>
      <c r="AG47" s="2">
        <v>2500000.0</v>
      </c>
      <c r="AH47" s="2" t="s">
        <v>79</v>
      </c>
      <c r="AI47" s="2" t="s">
        <v>56</v>
      </c>
      <c r="AJ47" s="2">
        <v>1100000.0</v>
      </c>
      <c r="AK47" s="8" t="s">
        <v>529</v>
      </c>
    </row>
    <row r="48">
      <c r="A48" s="2" t="s">
        <v>37</v>
      </c>
      <c r="B48" s="3">
        <v>46267.0</v>
      </c>
      <c r="C48" s="2" t="s">
        <v>530</v>
      </c>
      <c r="D48" s="2" t="s">
        <v>531</v>
      </c>
      <c r="E48" s="2">
        <v>9.975888759E9</v>
      </c>
      <c r="F48" s="2" t="s">
        <v>89</v>
      </c>
      <c r="G48" s="10" t="s">
        <v>532</v>
      </c>
      <c r="H48" s="2" t="s">
        <v>343</v>
      </c>
      <c r="I48" s="5" t="s">
        <v>533</v>
      </c>
      <c r="J48" s="2" t="s">
        <v>265</v>
      </c>
      <c r="K48" s="2" t="s">
        <v>241</v>
      </c>
      <c r="L48" s="2" t="s">
        <v>66</v>
      </c>
      <c r="M48" s="2" t="s">
        <v>534</v>
      </c>
      <c r="N48" s="2" t="s">
        <v>81</v>
      </c>
      <c r="O48" s="2" t="s">
        <v>535</v>
      </c>
      <c r="P48" s="2" t="s">
        <v>50</v>
      </c>
      <c r="Q48" s="2" t="s">
        <v>50</v>
      </c>
      <c r="R48" s="2" t="s">
        <v>50</v>
      </c>
      <c r="S48" s="2" t="s">
        <v>50</v>
      </c>
      <c r="T48" s="2" t="s">
        <v>83</v>
      </c>
      <c r="U48" s="2" t="s">
        <v>50</v>
      </c>
      <c r="V48" s="11">
        <v>35230.0</v>
      </c>
      <c r="W48" s="2" t="s">
        <v>50</v>
      </c>
      <c r="X48" s="2" t="s">
        <v>50</v>
      </c>
      <c r="Y48" s="2" t="s">
        <v>50</v>
      </c>
      <c r="Z48" s="2" t="s">
        <v>50</v>
      </c>
      <c r="AA48" s="2" t="s">
        <v>50</v>
      </c>
      <c r="AB48" s="2" t="s">
        <v>50</v>
      </c>
      <c r="AC48" s="2" t="s">
        <v>536</v>
      </c>
      <c r="AD48" s="2">
        <v>3.0</v>
      </c>
      <c r="AE48" s="2" t="s">
        <v>144</v>
      </c>
      <c r="AF48" s="2">
        <v>3.0</v>
      </c>
      <c r="AG48" s="2">
        <v>800000.0</v>
      </c>
      <c r="AH48" s="2" t="s">
        <v>66</v>
      </c>
      <c r="AI48" s="2" t="s">
        <v>56</v>
      </c>
      <c r="AJ48" s="2">
        <v>650000.0</v>
      </c>
      <c r="AK48" s="8" t="s">
        <v>537</v>
      </c>
    </row>
    <row r="49">
      <c r="A49" s="2" t="s">
        <v>37</v>
      </c>
      <c r="B49" s="3">
        <v>46267.0</v>
      </c>
      <c r="C49" s="2" t="s">
        <v>530</v>
      </c>
      <c r="D49" s="2" t="s">
        <v>531</v>
      </c>
      <c r="E49" s="2">
        <v>9.975888759E9</v>
      </c>
      <c r="F49" s="2" t="s">
        <v>89</v>
      </c>
      <c r="G49" s="10" t="s">
        <v>532</v>
      </c>
      <c r="H49" s="2" t="s">
        <v>343</v>
      </c>
      <c r="I49" s="5" t="s">
        <v>533</v>
      </c>
      <c r="J49" s="2" t="s">
        <v>265</v>
      </c>
      <c r="K49" s="2" t="s">
        <v>241</v>
      </c>
      <c r="L49" s="2" t="s">
        <v>66</v>
      </c>
      <c r="M49" s="2" t="s">
        <v>534</v>
      </c>
      <c r="N49" s="2" t="s">
        <v>81</v>
      </c>
      <c r="O49" s="2" t="s">
        <v>535</v>
      </c>
      <c r="P49" s="2" t="s">
        <v>50</v>
      </c>
      <c r="Q49" s="2" t="s">
        <v>50</v>
      </c>
      <c r="R49" s="2" t="s">
        <v>50</v>
      </c>
      <c r="S49" s="2" t="s">
        <v>50</v>
      </c>
      <c r="T49" s="2" t="s">
        <v>83</v>
      </c>
      <c r="U49" s="2" t="s">
        <v>50</v>
      </c>
      <c r="V49" s="11">
        <v>35230.0</v>
      </c>
      <c r="W49" s="2" t="s">
        <v>50</v>
      </c>
      <c r="X49" s="2" t="s">
        <v>50</v>
      </c>
      <c r="Y49" s="2" t="s">
        <v>50</v>
      </c>
      <c r="Z49" s="2" t="s">
        <v>50</v>
      </c>
      <c r="AA49" s="2" t="s">
        <v>50</v>
      </c>
      <c r="AB49" s="2" t="s">
        <v>50</v>
      </c>
      <c r="AC49" s="2" t="s">
        <v>536</v>
      </c>
      <c r="AD49" s="2">
        <v>3.0</v>
      </c>
      <c r="AE49" s="2" t="s">
        <v>144</v>
      </c>
      <c r="AF49" s="2">
        <v>3.0</v>
      </c>
      <c r="AG49" s="2">
        <v>800000.0</v>
      </c>
      <c r="AH49" s="2" t="s">
        <v>66</v>
      </c>
      <c r="AI49" s="2" t="s">
        <v>56</v>
      </c>
      <c r="AJ49" s="2">
        <v>650000.0</v>
      </c>
      <c r="AK49" s="8" t="s">
        <v>538</v>
      </c>
    </row>
    <row r="50">
      <c r="A50" s="2" t="s">
        <v>37</v>
      </c>
      <c r="B50" s="3">
        <v>46267.0</v>
      </c>
      <c r="C50" s="2" t="s">
        <v>539</v>
      </c>
      <c r="D50" s="2" t="s">
        <v>540</v>
      </c>
      <c r="E50" s="2">
        <v>9.112365673E9</v>
      </c>
      <c r="F50" s="2" t="s">
        <v>89</v>
      </c>
      <c r="G50" s="2" t="s">
        <v>541</v>
      </c>
      <c r="H50" s="2" t="s">
        <v>542</v>
      </c>
      <c r="I50" s="2" t="s">
        <v>543</v>
      </c>
      <c r="J50" s="2" t="s">
        <v>544</v>
      </c>
      <c r="K50" s="2" t="s">
        <v>287</v>
      </c>
      <c r="L50" s="2" t="s">
        <v>95</v>
      </c>
      <c r="M50" s="2" t="s">
        <v>545</v>
      </c>
      <c r="N50" s="2" t="s">
        <v>81</v>
      </c>
      <c r="O50" s="2" t="s">
        <v>69</v>
      </c>
      <c r="P50" s="2" t="s">
        <v>50</v>
      </c>
      <c r="Q50" s="2" t="s">
        <v>50</v>
      </c>
      <c r="R50" s="2" t="s">
        <v>50</v>
      </c>
      <c r="S50" s="2" t="s">
        <v>50</v>
      </c>
      <c r="T50" s="2" t="s">
        <v>51</v>
      </c>
      <c r="U50" s="2" t="s">
        <v>299</v>
      </c>
      <c r="V50" s="11">
        <v>36914.0</v>
      </c>
      <c r="W50" s="2" t="s">
        <v>52</v>
      </c>
      <c r="X50" s="2" t="s">
        <v>53</v>
      </c>
      <c r="Y50" s="2" t="s">
        <v>50</v>
      </c>
      <c r="Z50" s="2" t="s">
        <v>50</v>
      </c>
      <c r="AA50" s="2" t="s">
        <v>50</v>
      </c>
      <c r="AB50" s="2" t="s">
        <v>50</v>
      </c>
      <c r="AC50" s="2" t="s">
        <v>546</v>
      </c>
      <c r="AD50" s="2" t="s">
        <v>50</v>
      </c>
      <c r="AE50" s="2" t="s">
        <v>50</v>
      </c>
      <c r="AF50" s="2" t="s">
        <v>50</v>
      </c>
      <c r="AG50" s="2">
        <v>1000000.0</v>
      </c>
      <c r="AH50" s="2" t="s">
        <v>100</v>
      </c>
      <c r="AI50" s="2" t="s">
        <v>56</v>
      </c>
      <c r="AJ50" s="2">
        <v>420000.0</v>
      </c>
      <c r="AK50" s="8" t="s">
        <v>547</v>
      </c>
    </row>
    <row r="51">
      <c r="A51" s="2" t="s">
        <v>37</v>
      </c>
      <c r="B51" s="3">
        <v>46267.0</v>
      </c>
      <c r="C51" s="2" t="s">
        <v>548</v>
      </c>
      <c r="D51" s="2" t="s">
        <v>549</v>
      </c>
      <c r="E51" s="2">
        <v>8.637716172E9</v>
      </c>
      <c r="F51" s="2" t="s">
        <v>89</v>
      </c>
      <c r="G51" s="10" t="s">
        <v>550</v>
      </c>
      <c r="H51" s="2" t="s">
        <v>173</v>
      </c>
      <c r="I51" s="2" t="s">
        <v>161</v>
      </c>
      <c r="J51" s="2" t="s">
        <v>296</v>
      </c>
      <c r="K51" s="2" t="s">
        <v>551</v>
      </c>
      <c r="L51" s="2" t="s">
        <v>309</v>
      </c>
      <c r="M51" s="2" t="s">
        <v>552</v>
      </c>
      <c r="N51" s="2" t="s">
        <v>81</v>
      </c>
      <c r="O51" s="2" t="s">
        <v>553</v>
      </c>
      <c r="P51" s="2" t="s">
        <v>50</v>
      </c>
      <c r="Q51" s="2" t="s">
        <v>50</v>
      </c>
      <c r="R51" s="2" t="s">
        <v>50</v>
      </c>
      <c r="S51" s="2" t="s">
        <v>50</v>
      </c>
      <c r="T51" s="2" t="s">
        <v>83</v>
      </c>
      <c r="U51" s="2" t="s">
        <v>554</v>
      </c>
      <c r="V51" s="11">
        <v>36882.0</v>
      </c>
      <c r="W51" s="2" t="s">
        <v>50</v>
      </c>
      <c r="X51" s="2" t="s">
        <v>166</v>
      </c>
      <c r="Y51" s="2" t="s">
        <v>50</v>
      </c>
      <c r="Z51" s="2" t="s">
        <v>50</v>
      </c>
      <c r="AA51" s="2" t="s">
        <v>50</v>
      </c>
      <c r="AB51" s="2" t="s">
        <v>50</v>
      </c>
      <c r="AC51" s="2" t="s">
        <v>555</v>
      </c>
      <c r="AD51" s="2">
        <v>0.0</v>
      </c>
      <c r="AE51" s="2">
        <v>0.0</v>
      </c>
      <c r="AF51" s="2">
        <v>0.0</v>
      </c>
      <c r="AG51" s="2">
        <v>800000.0</v>
      </c>
      <c r="AH51" s="2" t="s">
        <v>309</v>
      </c>
      <c r="AI51" s="2" t="s">
        <v>56</v>
      </c>
      <c r="AJ51" s="2">
        <v>405000.0</v>
      </c>
      <c r="AK51" s="8" t="s">
        <v>556</v>
      </c>
    </row>
    <row r="52">
      <c r="A52" s="2" t="s">
        <v>37</v>
      </c>
      <c r="B52" s="3">
        <v>46267.0</v>
      </c>
      <c r="C52" s="2" t="s">
        <v>557</v>
      </c>
      <c r="D52" s="2" t="s">
        <v>558</v>
      </c>
      <c r="E52" s="2" t="s">
        <v>559</v>
      </c>
      <c r="F52" s="2" t="s">
        <v>89</v>
      </c>
      <c r="G52" s="10" t="s">
        <v>560</v>
      </c>
      <c r="H52" s="2" t="s">
        <v>75</v>
      </c>
      <c r="I52" s="2" t="s">
        <v>561</v>
      </c>
      <c r="J52" s="2" t="s">
        <v>562</v>
      </c>
      <c r="K52" s="2" t="s">
        <v>163</v>
      </c>
      <c r="L52" s="2" t="s">
        <v>95</v>
      </c>
      <c r="M52" s="2" t="s">
        <v>563</v>
      </c>
      <c r="N52" s="2" t="s">
        <v>68</v>
      </c>
      <c r="O52" s="2" t="s">
        <v>564</v>
      </c>
      <c r="P52" s="2" t="s">
        <v>244</v>
      </c>
      <c r="Q52" s="2" t="s">
        <v>121</v>
      </c>
      <c r="R52" s="2" t="s">
        <v>50</v>
      </c>
      <c r="S52" s="2" t="s">
        <v>50</v>
      </c>
      <c r="T52" s="2" t="s">
        <v>83</v>
      </c>
      <c r="U52" s="2" t="s">
        <v>89</v>
      </c>
      <c r="V52" s="14">
        <v>36301.0</v>
      </c>
      <c r="W52" s="2" t="s">
        <v>50</v>
      </c>
      <c r="X52" s="2" t="s">
        <v>50</v>
      </c>
      <c r="Y52" s="2" t="s">
        <v>50</v>
      </c>
      <c r="Z52" s="2" t="s">
        <v>50</v>
      </c>
      <c r="AA52" s="2" t="s">
        <v>50</v>
      </c>
      <c r="AB52" s="2" t="s">
        <v>50</v>
      </c>
      <c r="AC52" s="2" t="s">
        <v>565</v>
      </c>
      <c r="AD52" s="2" t="s">
        <v>566</v>
      </c>
      <c r="AE52" s="2" t="s">
        <v>566</v>
      </c>
      <c r="AF52" s="2">
        <v>4.0</v>
      </c>
      <c r="AG52" s="2">
        <v>465000.0</v>
      </c>
      <c r="AH52" s="2" t="s">
        <v>100</v>
      </c>
      <c r="AI52" s="2" t="s">
        <v>56</v>
      </c>
      <c r="AJ52" s="2">
        <v>450000.0</v>
      </c>
      <c r="AK52" s="8" t="s">
        <v>567</v>
      </c>
    </row>
    <row r="53">
      <c r="A53" s="2" t="s">
        <v>37</v>
      </c>
      <c r="B53" s="3">
        <v>46267.0</v>
      </c>
      <c r="C53" s="2" t="s">
        <v>568</v>
      </c>
      <c r="D53" s="2" t="s">
        <v>569</v>
      </c>
      <c r="E53" s="2">
        <v>6.360985613E9</v>
      </c>
      <c r="F53" s="2" t="s">
        <v>89</v>
      </c>
      <c r="G53" s="10" t="s">
        <v>570</v>
      </c>
      <c r="H53" s="2" t="s">
        <v>571</v>
      </c>
      <c r="I53" s="2" t="s">
        <v>572</v>
      </c>
      <c r="J53" s="2" t="s">
        <v>93</v>
      </c>
      <c r="K53" s="2" t="s">
        <v>573</v>
      </c>
      <c r="L53" s="2" t="s">
        <v>79</v>
      </c>
      <c r="M53" s="2" t="s">
        <v>574</v>
      </c>
      <c r="N53" s="2" t="s">
        <v>81</v>
      </c>
      <c r="O53" s="2" t="s">
        <v>575</v>
      </c>
      <c r="P53" s="2" t="s">
        <v>50</v>
      </c>
      <c r="Q53" s="2" t="s">
        <v>50</v>
      </c>
      <c r="R53" s="2" t="s">
        <v>50</v>
      </c>
      <c r="S53" s="2" t="s">
        <v>50</v>
      </c>
      <c r="T53" s="2" t="s">
        <v>83</v>
      </c>
      <c r="U53" s="2" t="s">
        <v>576</v>
      </c>
      <c r="V53" s="3">
        <v>35855.0</v>
      </c>
      <c r="W53" s="2" t="s">
        <v>50</v>
      </c>
      <c r="X53" s="2" t="s">
        <v>50</v>
      </c>
      <c r="Y53" s="2" t="s">
        <v>50</v>
      </c>
      <c r="Z53" s="2" t="s">
        <v>50</v>
      </c>
      <c r="AA53" s="2" t="s">
        <v>50</v>
      </c>
      <c r="AB53" s="2" t="s">
        <v>50</v>
      </c>
      <c r="AC53" s="2" t="s">
        <v>577</v>
      </c>
      <c r="AD53" s="2">
        <v>3.0</v>
      </c>
      <c r="AE53" s="2">
        <v>3.0</v>
      </c>
      <c r="AF53" s="2">
        <v>3.0</v>
      </c>
      <c r="AG53" s="2">
        <v>900000.0</v>
      </c>
      <c r="AH53" s="2" t="s">
        <v>79</v>
      </c>
      <c r="AI53" s="2" t="s">
        <v>56</v>
      </c>
      <c r="AJ53" s="2">
        <v>1000000.0</v>
      </c>
      <c r="AK53" s="8" t="s">
        <v>578</v>
      </c>
    </row>
    <row r="54">
      <c r="A54" s="2" t="s">
        <v>37</v>
      </c>
      <c r="B54" s="3">
        <v>46267.0</v>
      </c>
      <c r="C54" s="2" t="s">
        <v>579</v>
      </c>
      <c r="D54" s="2" t="s">
        <v>580</v>
      </c>
      <c r="E54" s="2">
        <v>7.644919965E9</v>
      </c>
      <c r="F54" s="2" t="s">
        <v>116</v>
      </c>
      <c r="G54" s="10" t="s">
        <v>581</v>
      </c>
      <c r="H54" s="2" t="s">
        <v>582</v>
      </c>
      <c r="I54" s="2" t="s">
        <v>583</v>
      </c>
      <c r="J54" s="2" t="s">
        <v>296</v>
      </c>
      <c r="K54" s="2" t="s">
        <v>584</v>
      </c>
      <c r="L54" s="2" t="s">
        <v>95</v>
      </c>
      <c r="M54" s="2" t="s">
        <v>585</v>
      </c>
      <c r="N54" s="2" t="s">
        <v>81</v>
      </c>
      <c r="O54" s="2" t="s">
        <v>586</v>
      </c>
      <c r="P54" s="2" t="s">
        <v>50</v>
      </c>
      <c r="Q54" s="2" t="s">
        <v>50</v>
      </c>
      <c r="R54" s="2" t="s">
        <v>50</v>
      </c>
      <c r="S54" s="2" t="s">
        <v>50</v>
      </c>
      <c r="T54" s="2" t="s">
        <v>83</v>
      </c>
      <c r="U54" s="2" t="s">
        <v>587</v>
      </c>
      <c r="V54" s="3">
        <v>37504.0</v>
      </c>
      <c r="W54" s="2" t="s">
        <v>50</v>
      </c>
      <c r="X54" s="2" t="s">
        <v>50</v>
      </c>
      <c r="Y54" s="2" t="s">
        <v>50</v>
      </c>
      <c r="Z54" s="2" t="s">
        <v>50</v>
      </c>
      <c r="AA54" s="2" t="s">
        <v>50</v>
      </c>
      <c r="AB54" s="2" t="s">
        <v>50</v>
      </c>
      <c r="AC54" s="2" t="s">
        <v>588</v>
      </c>
      <c r="AD54" s="2">
        <v>2.5</v>
      </c>
      <c r="AE54" s="2">
        <v>2.5</v>
      </c>
      <c r="AF54" s="2">
        <v>2.5</v>
      </c>
      <c r="AG54" s="2">
        <v>1000000.0</v>
      </c>
      <c r="AH54" s="2" t="s">
        <v>100</v>
      </c>
      <c r="AI54" s="2" t="s">
        <v>56</v>
      </c>
      <c r="AJ54" s="2">
        <v>672000.0</v>
      </c>
      <c r="AK54" s="8" t="s">
        <v>589</v>
      </c>
    </row>
    <row r="55">
      <c r="A55" s="2" t="s">
        <v>37</v>
      </c>
      <c r="B55" s="3">
        <v>46267.0</v>
      </c>
      <c r="C55" s="2" t="s">
        <v>590</v>
      </c>
      <c r="D55" s="2" t="s">
        <v>591</v>
      </c>
      <c r="E55" s="2">
        <v>7.999470389E9</v>
      </c>
      <c r="F55" s="2" t="s">
        <v>116</v>
      </c>
      <c r="G55" s="10" t="s">
        <v>592</v>
      </c>
      <c r="H55" s="2" t="s">
        <v>286</v>
      </c>
      <c r="I55" s="2" t="s">
        <v>593</v>
      </c>
      <c r="J55" s="2" t="s">
        <v>594</v>
      </c>
      <c r="K55" s="2" t="s">
        <v>131</v>
      </c>
      <c r="L55" s="2" t="s">
        <v>309</v>
      </c>
      <c r="M55" s="2" t="s">
        <v>595</v>
      </c>
      <c r="N55" s="2" t="s">
        <v>81</v>
      </c>
      <c r="O55" s="2" t="s">
        <v>596</v>
      </c>
      <c r="P55" s="2" t="s">
        <v>50</v>
      </c>
      <c r="Q55" s="2" t="s">
        <v>50</v>
      </c>
      <c r="R55" s="2" t="s">
        <v>50</v>
      </c>
      <c r="S55" s="2" t="s">
        <v>50</v>
      </c>
      <c r="T55" s="2" t="s">
        <v>83</v>
      </c>
      <c r="U55" s="2" t="s">
        <v>116</v>
      </c>
      <c r="V55" s="11">
        <v>37619.0</v>
      </c>
      <c r="W55" s="2" t="s">
        <v>50</v>
      </c>
      <c r="X55" s="2" t="s">
        <v>50</v>
      </c>
      <c r="Y55" s="2" t="s">
        <v>50</v>
      </c>
      <c r="Z55" s="2" t="s">
        <v>50</v>
      </c>
      <c r="AA55" s="2" t="s">
        <v>50</v>
      </c>
      <c r="AB55" s="2" t="s">
        <v>50</v>
      </c>
      <c r="AC55" s="2" t="s">
        <v>597</v>
      </c>
      <c r="AD55" s="2">
        <v>0.0</v>
      </c>
      <c r="AE55" s="2">
        <v>2.0</v>
      </c>
      <c r="AF55" s="2">
        <v>0.0</v>
      </c>
      <c r="AG55" s="2">
        <v>800000.0</v>
      </c>
      <c r="AH55" s="2" t="s">
        <v>309</v>
      </c>
      <c r="AI55" s="2" t="s">
        <v>56</v>
      </c>
      <c r="AJ55" s="2">
        <v>500000.0</v>
      </c>
      <c r="AK55" s="8" t="s">
        <v>598</v>
      </c>
    </row>
    <row r="56">
      <c r="A56" s="2" t="s">
        <v>37</v>
      </c>
      <c r="B56" s="3">
        <v>46267.0</v>
      </c>
      <c r="C56" s="15" t="s">
        <v>599</v>
      </c>
      <c r="D56" s="2" t="s">
        <v>600</v>
      </c>
      <c r="E56" s="2">
        <v>9.595288695E9</v>
      </c>
      <c r="F56" s="2" t="s">
        <v>274</v>
      </c>
      <c r="G56" s="2" t="s">
        <v>601</v>
      </c>
      <c r="H56" s="2" t="s">
        <v>106</v>
      </c>
      <c r="I56" s="2" t="s">
        <v>602</v>
      </c>
      <c r="J56" s="2" t="s">
        <v>603</v>
      </c>
      <c r="K56" s="2" t="s">
        <v>186</v>
      </c>
      <c r="L56" s="2" t="s">
        <v>79</v>
      </c>
      <c r="M56" s="9" t="s">
        <v>604</v>
      </c>
      <c r="N56" s="5" t="s">
        <v>48</v>
      </c>
      <c r="O56" s="2" t="s">
        <v>326</v>
      </c>
      <c r="P56" s="2" t="s">
        <v>605</v>
      </c>
      <c r="Q56" s="2" t="s">
        <v>326</v>
      </c>
      <c r="R56" s="2" t="s">
        <v>50</v>
      </c>
      <c r="S56" s="2" t="s">
        <v>50</v>
      </c>
      <c r="T56" s="2" t="s">
        <v>83</v>
      </c>
      <c r="U56" s="2" t="s">
        <v>176</v>
      </c>
      <c r="V56" s="3">
        <v>36495.0</v>
      </c>
      <c r="W56" s="2" t="s">
        <v>141</v>
      </c>
      <c r="X56" s="2" t="s">
        <v>50</v>
      </c>
      <c r="Y56" s="2" t="s">
        <v>143</v>
      </c>
      <c r="Z56" s="2" t="s">
        <v>50</v>
      </c>
      <c r="AA56" s="2" t="s">
        <v>50</v>
      </c>
      <c r="AB56" s="2" t="s">
        <v>50</v>
      </c>
      <c r="AC56" s="2" t="s">
        <v>606</v>
      </c>
      <c r="AD56" s="2">
        <v>3.0</v>
      </c>
      <c r="AE56" s="2">
        <v>3.5</v>
      </c>
      <c r="AF56" s="2">
        <v>3.5</v>
      </c>
      <c r="AG56" s="2">
        <v>600000.0</v>
      </c>
      <c r="AH56" s="2" t="s">
        <v>79</v>
      </c>
      <c r="AI56" s="2" t="s">
        <v>56</v>
      </c>
      <c r="AJ56" s="2">
        <v>550000.0</v>
      </c>
      <c r="AK56" s="8" t="s">
        <v>607</v>
      </c>
    </row>
    <row r="57">
      <c r="A57" s="2" t="s">
        <v>37</v>
      </c>
      <c r="B57" s="3">
        <v>46267.0</v>
      </c>
      <c r="C57" s="2" t="s">
        <v>608</v>
      </c>
      <c r="D57" s="2" t="s">
        <v>609</v>
      </c>
      <c r="E57" s="2">
        <v>8.433754796E9</v>
      </c>
      <c r="F57" s="2" t="s">
        <v>171</v>
      </c>
      <c r="G57" s="10" t="s">
        <v>171</v>
      </c>
      <c r="H57" s="2" t="s">
        <v>62</v>
      </c>
      <c r="I57" s="2" t="s">
        <v>610</v>
      </c>
      <c r="J57" s="2" t="s">
        <v>611</v>
      </c>
      <c r="K57" s="2" t="s">
        <v>199</v>
      </c>
      <c r="L57" s="2" t="s">
        <v>309</v>
      </c>
      <c r="M57" s="9" t="s">
        <v>612</v>
      </c>
      <c r="N57" s="5" t="s">
        <v>48</v>
      </c>
      <c r="O57" s="2" t="s">
        <v>513</v>
      </c>
      <c r="P57" s="2" t="s">
        <v>50</v>
      </c>
      <c r="Q57" s="2" t="s">
        <v>50</v>
      </c>
      <c r="R57" s="2" t="s">
        <v>50</v>
      </c>
      <c r="S57" s="2" t="s">
        <v>50</v>
      </c>
      <c r="T57" s="2" t="s">
        <v>83</v>
      </c>
      <c r="U57" s="2" t="s">
        <v>171</v>
      </c>
      <c r="V57" s="11">
        <v>37361.0</v>
      </c>
      <c r="W57" s="2" t="s">
        <v>50</v>
      </c>
      <c r="X57" s="2" t="s">
        <v>50</v>
      </c>
      <c r="Y57" s="2" t="s">
        <v>50</v>
      </c>
      <c r="Z57" s="2" t="s">
        <v>50</v>
      </c>
      <c r="AA57" s="2" t="s">
        <v>50</v>
      </c>
      <c r="AB57" s="2" t="s">
        <v>50</v>
      </c>
      <c r="AC57" s="2" t="s">
        <v>613</v>
      </c>
      <c r="AD57" s="2">
        <v>3.0</v>
      </c>
      <c r="AE57" s="2">
        <v>3.0</v>
      </c>
      <c r="AF57" s="2">
        <v>3.0</v>
      </c>
      <c r="AG57" s="2">
        <v>1200000.0</v>
      </c>
      <c r="AH57" s="2" t="s">
        <v>309</v>
      </c>
      <c r="AI57" s="2" t="s">
        <v>56</v>
      </c>
      <c r="AJ57" s="2">
        <v>600000.0</v>
      </c>
      <c r="AK57" s="8" t="s">
        <v>614</v>
      </c>
    </row>
    <row r="58">
      <c r="A58" s="2" t="s">
        <v>37</v>
      </c>
      <c r="B58" s="3">
        <v>46267.0</v>
      </c>
      <c r="C58" s="2" t="s">
        <v>615</v>
      </c>
      <c r="D58" s="2" t="s">
        <v>616</v>
      </c>
      <c r="E58" s="2">
        <v>9.440437768E9</v>
      </c>
      <c r="F58" s="2" t="s">
        <v>116</v>
      </c>
      <c r="G58" s="10" t="s">
        <v>617</v>
      </c>
      <c r="H58" s="2" t="s">
        <v>128</v>
      </c>
      <c r="I58" s="2" t="s">
        <v>618</v>
      </c>
      <c r="J58" s="2" t="s">
        <v>296</v>
      </c>
      <c r="K58" s="2" t="s">
        <v>186</v>
      </c>
      <c r="L58" s="2" t="s">
        <v>79</v>
      </c>
      <c r="M58" s="2" t="s">
        <v>619</v>
      </c>
      <c r="N58" s="5" t="s">
        <v>48</v>
      </c>
      <c r="O58" s="2" t="s">
        <v>620</v>
      </c>
      <c r="P58" s="2" t="s">
        <v>50</v>
      </c>
      <c r="Q58" s="2" t="s">
        <v>50</v>
      </c>
      <c r="R58" s="2" t="s">
        <v>50</v>
      </c>
      <c r="S58" s="2" t="s">
        <v>50</v>
      </c>
      <c r="T58" s="2" t="s">
        <v>83</v>
      </c>
      <c r="U58" s="2" t="s">
        <v>50</v>
      </c>
      <c r="V58" s="11">
        <v>37091.0</v>
      </c>
      <c r="W58" s="2" t="s">
        <v>50</v>
      </c>
      <c r="X58" s="2" t="s">
        <v>50</v>
      </c>
      <c r="Y58" s="2" t="s">
        <v>50</v>
      </c>
      <c r="Z58" s="2" t="s">
        <v>50</v>
      </c>
      <c r="AA58" s="2" t="s">
        <v>50</v>
      </c>
      <c r="AB58" s="2" t="s">
        <v>50</v>
      </c>
      <c r="AC58" s="2" t="s">
        <v>346</v>
      </c>
      <c r="AD58" s="2">
        <v>3.0</v>
      </c>
      <c r="AE58" s="2">
        <v>3.0</v>
      </c>
      <c r="AF58" s="2">
        <v>3.0</v>
      </c>
      <c r="AG58" s="2">
        <v>700000.0</v>
      </c>
      <c r="AH58" s="2" t="s">
        <v>79</v>
      </c>
      <c r="AI58" s="2" t="s">
        <v>56</v>
      </c>
      <c r="AJ58" s="2">
        <v>550000.0</v>
      </c>
      <c r="AK58" s="8" t="s">
        <v>621</v>
      </c>
    </row>
    <row r="59">
      <c r="A59" s="2" t="s">
        <v>37</v>
      </c>
      <c r="B59" s="3">
        <v>46267.0</v>
      </c>
      <c r="C59" s="2" t="s">
        <v>622</v>
      </c>
      <c r="D59" s="2" t="s">
        <v>623</v>
      </c>
      <c r="E59" s="2">
        <v>8.50077234E9</v>
      </c>
      <c r="F59" s="2" t="s">
        <v>406</v>
      </c>
      <c r="G59" s="10" t="s">
        <v>624</v>
      </c>
      <c r="H59" s="2" t="s">
        <v>183</v>
      </c>
      <c r="I59" s="2" t="s">
        <v>625</v>
      </c>
      <c r="J59" s="2" t="s">
        <v>108</v>
      </c>
      <c r="K59" s="2" t="s">
        <v>626</v>
      </c>
      <c r="L59" s="2" t="s">
        <v>95</v>
      </c>
      <c r="M59" s="2" t="s">
        <v>627</v>
      </c>
      <c r="N59" s="5" t="s">
        <v>48</v>
      </c>
      <c r="O59" s="2" t="s">
        <v>628</v>
      </c>
      <c r="P59" s="2" t="s">
        <v>50</v>
      </c>
      <c r="Q59" s="2" t="s">
        <v>50</v>
      </c>
      <c r="R59" s="2" t="s">
        <v>50</v>
      </c>
      <c r="S59" s="2" t="s">
        <v>50</v>
      </c>
      <c r="T59" s="2" t="s">
        <v>83</v>
      </c>
      <c r="U59" s="2" t="s">
        <v>629</v>
      </c>
      <c r="V59" s="11">
        <v>37728.0</v>
      </c>
      <c r="W59" s="2" t="s">
        <v>50</v>
      </c>
      <c r="X59" s="2" t="s">
        <v>50</v>
      </c>
      <c r="Y59" s="2" t="s">
        <v>50</v>
      </c>
      <c r="Z59" s="2" t="s">
        <v>50</v>
      </c>
      <c r="AA59" s="2" t="s">
        <v>50</v>
      </c>
      <c r="AB59" s="2" t="s">
        <v>50</v>
      </c>
      <c r="AC59" s="2" t="s">
        <v>630</v>
      </c>
      <c r="AD59" s="2" t="s">
        <v>631</v>
      </c>
      <c r="AE59" s="2" t="s">
        <v>632</v>
      </c>
      <c r="AF59" s="2" t="s">
        <v>632</v>
      </c>
      <c r="AG59" s="2">
        <v>700000.0</v>
      </c>
      <c r="AH59" s="2" t="s">
        <v>100</v>
      </c>
      <c r="AI59" s="2" t="s">
        <v>56</v>
      </c>
      <c r="AJ59" s="2">
        <v>1.0</v>
      </c>
      <c r="AK59" s="8" t="s">
        <v>633</v>
      </c>
    </row>
    <row r="60">
      <c r="A60" s="2" t="s">
        <v>37</v>
      </c>
      <c r="B60" s="3">
        <v>46267.0</v>
      </c>
      <c r="C60" s="2" t="s">
        <v>634</v>
      </c>
      <c r="D60" s="2" t="s">
        <v>635</v>
      </c>
      <c r="E60" s="2">
        <v>7.973732501E9</v>
      </c>
      <c r="F60" s="2" t="s">
        <v>116</v>
      </c>
      <c r="G60" s="10" t="s">
        <v>636</v>
      </c>
      <c r="H60" s="2" t="s">
        <v>128</v>
      </c>
      <c r="I60" s="2" t="s">
        <v>637</v>
      </c>
      <c r="J60" s="2" t="s">
        <v>638</v>
      </c>
      <c r="K60" s="2" t="s">
        <v>199</v>
      </c>
      <c r="L60" s="2" t="s">
        <v>79</v>
      </c>
      <c r="M60" s="2" t="s">
        <v>639</v>
      </c>
      <c r="N60" s="2" t="s">
        <v>81</v>
      </c>
      <c r="O60" s="2" t="s">
        <v>640</v>
      </c>
      <c r="P60" s="2" t="s">
        <v>50</v>
      </c>
      <c r="Q60" s="2" t="s">
        <v>50</v>
      </c>
      <c r="R60" s="2" t="s">
        <v>50</v>
      </c>
      <c r="S60" s="2" t="s">
        <v>50</v>
      </c>
      <c r="T60" s="2" t="s">
        <v>83</v>
      </c>
      <c r="U60" s="2" t="s">
        <v>587</v>
      </c>
      <c r="V60" s="11">
        <v>36980.0</v>
      </c>
      <c r="W60" s="2" t="s">
        <v>50</v>
      </c>
      <c r="X60" s="2" t="s">
        <v>50</v>
      </c>
      <c r="Y60" s="2" t="s">
        <v>50</v>
      </c>
      <c r="Z60" s="2" t="s">
        <v>50</v>
      </c>
      <c r="AA60" s="2" t="s">
        <v>50</v>
      </c>
      <c r="AB60" s="2" t="s">
        <v>50</v>
      </c>
      <c r="AC60" s="2" t="s">
        <v>641</v>
      </c>
      <c r="AD60" s="2">
        <v>3.0</v>
      </c>
      <c r="AE60" s="2">
        <v>3.0</v>
      </c>
      <c r="AF60" s="2">
        <v>3.0</v>
      </c>
      <c r="AG60" s="2">
        <v>900000.0</v>
      </c>
      <c r="AH60" s="2" t="s">
        <v>79</v>
      </c>
      <c r="AI60" s="2" t="s">
        <v>56</v>
      </c>
      <c r="AJ60" s="2">
        <v>600000.0</v>
      </c>
      <c r="AK60" s="8" t="s">
        <v>642</v>
      </c>
    </row>
    <row r="61">
      <c r="A61" s="2" t="s">
        <v>37</v>
      </c>
      <c r="B61" s="3">
        <v>46267.0</v>
      </c>
      <c r="C61" s="2" t="s">
        <v>643</v>
      </c>
      <c r="D61" s="2" t="s">
        <v>644</v>
      </c>
      <c r="E61" s="2">
        <v>8.712124213E9</v>
      </c>
      <c r="F61" s="2" t="s">
        <v>171</v>
      </c>
      <c r="G61" s="2" t="s">
        <v>645</v>
      </c>
      <c r="H61" s="2" t="s">
        <v>646</v>
      </c>
      <c r="I61" s="2" t="s">
        <v>63</v>
      </c>
      <c r="J61" s="2" t="s">
        <v>265</v>
      </c>
      <c r="K61" s="2" t="s">
        <v>647</v>
      </c>
      <c r="L61" s="2" t="s">
        <v>79</v>
      </c>
      <c r="M61" s="9" t="s">
        <v>648</v>
      </c>
      <c r="N61" s="5" t="s">
        <v>48</v>
      </c>
      <c r="O61" s="2" t="s">
        <v>649</v>
      </c>
      <c r="P61" s="2" t="s">
        <v>50</v>
      </c>
      <c r="Q61" s="2" t="s">
        <v>50</v>
      </c>
      <c r="R61" s="2" t="s">
        <v>50</v>
      </c>
      <c r="S61" s="2" t="s">
        <v>50</v>
      </c>
      <c r="T61" s="2" t="s">
        <v>83</v>
      </c>
      <c r="U61" s="2" t="s">
        <v>50</v>
      </c>
      <c r="V61" s="11">
        <v>37002.0</v>
      </c>
      <c r="W61" s="2" t="s">
        <v>50</v>
      </c>
      <c r="X61" s="2" t="s">
        <v>166</v>
      </c>
      <c r="Y61" s="2" t="s">
        <v>50</v>
      </c>
      <c r="Z61" s="2" t="s">
        <v>50</v>
      </c>
      <c r="AA61" s="2" t="s">
        <v>50</v>
      </c>
      <c r="AB61" s="2" t="s">
        <v>50</v>
      </c>
      <c r="AC61" s="2" t="s">
        <v>650</v>
      </c>
      <c r="AD61" s="2">
        <v>3.0</v>
      </c>
      <c r="AE61" s="2">
        <v>3.0</v>
      </c>
      <c r="AF61" s="2">
        <v>3.0</v>
      </c>
      <c r="AG61" s="2">
        <v>750000.0</v>
      </c>
      <c r="AH61" s="2" t="s">
        <v>79</v>
      </c>
      <c r="AI61" s="2" t="s">
        <v>56</v>
      </c>
      <c r="AJ61" s="2">
        <v>510000.0</v>
      </c>
      <c r="AK61" s="8" t="s">
        <v>651</v>
      </c>
    </row>
    <row r="62">
      <c r="M62" s="20"/>
    </row>
    <row r="63">
      <c r="M63" s="20"/>
    </row>
    <row r="64">
      <c r="M64" s="20"/>
    </row>
    <row r="65">
      <c r="M65" s="20"/>
    </row>
    <row r="66">
      <c r="M66" s="20"/>
    </row>
    <row r="67">
      <c r="M67" s="20"/>
    </row>
    <row r="68">
      <c r="M68" s="20"/>
    </row>
    <row r="69">
      <c r="M69" s="20"/>
    </row>
    <row r="70">
      <c r="M70" s="20"/>
    </row>
    <row r="71">
      <c r="M71" s="20"/>
    </row>
    <row r="72">
      <c r="M72" s="20"/>
    </row>
    <row r="73">
      <c r="M73" s="20"/>
    </row>
    <row r="74">
      <c r="M74" s="20"/>
    </row>
    <row r="75">
      <c r="M75" s="20"/>
    </row>
    <row r="76">
      <c r="M76" s="20"/>
    </row>
    <row r="77">
      <c r="M77" s="20"/>
    </row>
    <row r="78">
      <c r="M78" s="20"/>
    </row>
    <row r="79">
      <c r="M79" s="20"/>
    </row>
    <row r="80">
      <c r="M80" s="20"/>
    </row>
    <row r="81">
      <c r="M81" s="20"/>
    </row>
    <row r="82">
      <c r="M82" s="20"/>
    </row>
    <row r="83">
      <c r="M83" s="20"/>
    </row>
    <row r="84">
      <c r="M84" s="20"/>
    </row>
    <row r="85">
      <c r="M85" s="20"/>
    </row>
    <row r="86">
      <c r="M86" s="20"/>
    </row>
    <row r="87">
      <c r="M87" s="20"/>
    </row>
    <row r="88">
      <c r="M88" s="20"/>
    </row>
    <row r="89">
      <c r="M89" s="20"/>
    </row>
    <row r="90">
      <c r="M90" s="20"/>
    </row>
    <row r="91">
      <c r="M91" s="20"/>
    </row>
    <row r="92">
      <c r="M92" s="20"/>
    </row>
    <row r="93">
      <c r="M93" s="20"/>
    </row>
    <row r="94">
      <c r="M94" s="20"/>
    </row>
    <row r="95">
      <c r="M95" s="20"/>
    </row>
    <row r="96">
      <c r="M96" s="20"/>
    </row>
    <row r="97">
      <c r="M97" s="20"/>
    </row>
    <row r="98">
      <c r="M98" s="20"/>
    </row>
    <row r="99">
      <c r="M99" s="20"/>
    </row>
    <row r="100">
      <c r="M100" s="20"/>
    </row>
    <row r="101">
      <c r="M101" s="20"/>
    </row>
    <row r="102">
      <c r="M102" s="20"/>
    </row>
    <row r="103">
      <c r="M103" s="20"/>
    </row>
    <row r="104">
      <c r="M104" s="20"/>
    </row>
    <row r="105">
      <c r="M105" s="20"/>
    </row>
    <row r="106">
      <c r="M106" s="20"/>
    </row>
    <row r="107">
      <c r="M107" s="20"/>
    </row>
    <row r="108">
      <c r="M108" s="20"/>
    </row>
    <row r="109">
      <c r="M109" s="20"/>
    </row>
    <row r="110">
      <c r="M110" s="20"/>
    </row>
    <row r="111">
      <c r="M111" s="20"/>
    </row>
    <row r="112">
      <c r="M112" s="20"/>
    </row>
    <row r="113">
      <c r="M113" s="20"/>
    </row>
    <row r="114">
      <c r="M114" s="20"/>
    </row>
    <row r="115">
      <c r="M115" s="20"/>
    </row>
    <row r="116">
      <c r="M116" s="20"/>
    </row>
    <row r="117">
      <c r="M117" s="20"/>
    </row>
    <row r="118">
      <c r="M118" s="20"/>
    </row>
    <row r="119">
      <c r="M119" s="20"/>
    </row>
    <row r="120">
      <c r="M120" s="20"/>
    </row>
    <row r="121">
      <c r="M121" s="20"/>
    </row>
    <row r="122">
      <c r="M122" s="20"/>
    </row>
    <row r="123">
      <c r="M123" s="20"/>
    </row>
    <row r="124">
      <c r="M124" s="20"/>
    </row>
    <row r="125">
      <c r="M125" s="20"/>
    </row>
    <row r="126">
      <c r="M126" s="20"/>
    </row>
    <row r="127">
      <c r="M127" s="20"/>
    </row>
    <row r="128">
      <c r="M128" s="20"/>
    </row>
    <row r="129">
      <c r="M129" s="20"/>
    </row>
    <row r="130">
      <c r="M130" s="20"/>
    </row>
    <row r="131">
      <c r="M131" s="20"/>
    </row>
    <row r="132">
      <c r="M132" s="20"/>
    </row>
    <row r="133">
      <c r="M133" s="20"/>
    </row>
    <row r="134">
      <c r="M134" s="20"/>
    </row>
    <row r="135">
      <c r="M135" s="20"/>
    </row>
    <row r="136">
      <c r="M136" s="20"/>
    </row>
    <row r="137">
      <c r="M137" s="20"/>
    </row>
    <row r="138">
      <c r="M138" s="20"/>
    </row>
    <row r="139">
      <c r="M139" s="20"/>
    </row>
    <row r="140">
      <c r="M140" s="20"/>
    </row>
    <row r="141">
      <c r="M141" s="20"/>
    </row>
    <row r="142">
      <c r="M142" s="20"/>
    </row>
    <row r="143">
      <c r="M143" s="20"/>
    </row>
    <row r="144">
      <c r="M144" s="20"/>
    </row>
    <row r="145">
      <c r="M145" s="20"/>
    </row>
    <row r="146">
      <c r="M146" s="20"/>
    </row>
    <row r="147">
      <c r="M147" s="20"/>
    </row>
    <row r="148">
      <c r="M148" s="20"/>
    </row>
    <row r="149">
      <c r="M149" s="20"/>
    </row>
    <row r="150">
      <c r="M150" s="20"/>
    </row>
    <row r="151">
      <c r="M151" s="20"/>
    </row>
    <row r="152">
      <c r="M152" s="20"/>
    </row>
    <row r="153">
      <c r="M153" s="20"/>
    </row>
    <row r="154">
      <c r="M154" s="20"/>
    </row>
    <row r="155">
      <c r="M155" s="20"/>
    </row>
    <row r="156">
      <c r="M156" s="20"/>
    </row>
    <row r="157">
      <c r="M157" s="20"/>
    </row>
    <row r="158">
      <c r="M158" s="20"/>
    </row>
    <row r="159">
      <c r="M159" s="20"/>
    </row>
    <row r="160">
      <c r="M160" s="20"/>
    </row>
    <row r="161">
      <c r="M161" s="20"/>
    </row>
    <row r="162">
      <c r="M162" s="20"/>
    </row>
    <row r="163">
      <c r="M163" s="20"/>
    </row>
    <row r="164">
      <c r="M164" s="20"/>
    </row>
    <row r="165">
      <c r="M165" s="20"/>
    </row>
    <row r="166">
      <c r="M166" s="20"/>
    </row>
    <row r="167">
      <c r="M167" s="20"/>
    </row>
    <row r="168">
      <c r="M168" s="20"/>
    </row>
    <row r="169">
      <c r="M169" s="20"/>
    </row>
    <row r="170">
      <c r="M170" s="20"/>
    </row>
    <row r="171">
      <c r="M171" s="20"/>
    </row>
    <row r="172">
      <c r="M172" s="20"/>
    </row>
    <row r="173">
      <c r="M173" s="20"/>
    </row>
    <row r="174">
      <c r="M174" s="20"/>
    </row>
    <row r="175">
      <c r="M175" s="20"/>
    </row>
    <row r="176">
      <c r="M176" s="20"/>
    </row>
    <row r="177">
      <c r="M177" s="20"/>
    </row>
    <row r="178">
      <c r="M178" s="20"/>
    </row>
    <row r="179">
      <c r="M179" s="20"/>
    </row>
    <row r="180">
      <c r="M180" s="20"/>
    </row>
    <row r="181">
      <c r="M181" s="20"/>
    </row>
    <row r="182">
      <c r="M182" s="20"/>
    </row>
    <row r="183">
      <c r="M183" s="20"/>
    </row>
    <row r="184">
      <c r="M184" s="20"/>
    </row>
    <row r="185">
      <c r="M185" s="20"/>
    </row>
    <row r="186">
      <c r="M186" s="20"/>
    </row>
    <row r="187">
      <c r="M187" s="20"/>
    </row>
    <row r="188">
      <c r="M188" s="20"/>
    </row>
    <row r="189">
      <c r="M189" s="20"/>
    </row>
    <row r="190">
      <c r="M190" s="20"/>
    </row>
    <row r="191">
      <c r="M191" s="20"/>
    </row>
    <row r="192">
      <c r="M192" s="20"/>
    </row>
    <row r="193">
      <c r="M193" s="20"/>
    </row>
    <row r="194">
      <c r="M194" s="20"/>
    </row>
    <row r="195">
      <c r="M195" s="20"/>
    </row>
    <row r="196">
      <c r="M196" s="20"/>
    </row>
    <row r="197">
      <c r="M197" s="20"/>
    </row>
    <row r="198">
      <c r="M198" s="20"/>
    </row>
    <row r="199">
      <c r="M199" s="20"/>
    </row>
    <row r="200">
      <c r="M200" s="20"/>
    </row>
    <row r="201">
      <c r="M201" s="20"/>
    </row>
    <row r="202">
      <c r="M202" s="20"/>
    </row>
    <row r="203">
      <c r="M203" s="20"/>
    </row>
    <row r="204">
      <c r="M204" s="20"/>
    </row>
    <row r="205">
      <c r="M205" s="20"/>
    </row>
    <row r="206">
      <c r="M206" s="20"/>
    </row>
    <row r="207">
      <c r="M207" s="20"/>
    </row>
    <row r="208">
      <c r="M208" s="20"/>
    </row>
    <row r="209">
      <c r="M209" s="20"/>
    </row>
    <row r="210">
      <c r="M210" s="20"/>
    </row>
    <row r="211">
      <c r="M211" s="20"/>
    </row>
    <row r="212">
      <c r="M212" s="20"/>
    </row>
    <row r="213">
      <c r="M213" s="20"/>
    </row>
    <row r="214">
      <c r="M214" s="20"/>
    </row>
    <row r="215">
      <c r="M215" s="20"/>
    </row>
    <row r="216">
      <c r="M216" s="20"/>
    </row>
    <row r="217">
      <c r="M217" s="20"/>
    </row>
    <row r="218">
      <c r="M218" s="20"/>
    </row>
    <row r="219">
      <c r="M219" s="20"/>
    </row>
    <row r="220">
      <c r="M220" s="20"/>
    </row>
    <row r="221">
      <c r="M221" s="20"/>
    </row>
    <row r="222">
      <c r="M222" s="20"/>
    </row>
    <row r="223">
      <c r="M223" s="20"/>
    </row>
    <row r="224">
      <c r="M224" s="20"/>
    </row>
    <row r="225">
      <c r="M225" s="20"/>
    </row>
    <row r="226">
      <c r="M226" s="20"/>
    </row>
    <row r="227">
      <c r="M227" s="20"/>
    </row>
    <row r="228">
      <c r="M228" s="20"/>
    </row>
    <row r="229">
      <c r="M229" s="20"/>
    </row>
    <row r="230">
      <c r="M230" s="20"/>
    </row>
    <row r="231">
      <c r="M231" s="20"/>
    </row>
    <row r="232">
      <c r="M232" s="20"/>
    </row>
    <row r="233">
      <c r="M233" s="20"/>
    </row>
    <row r="234">
      <c r="M234" s="20"/>
    </row>
    <row r="235">
      <c r="M235" s="20"/>
    </row>
    <row r="236">
      <c r="M236" s="20"/>
    </row>
    <row r="237">
      <c r="M237" s="20"/>
    </row>
    <row r="238">
      <c r="M238" s="20"/>
    </row>
    <row r="239">
      <c r="M239" s="20"/>
    </row>
    <row r="240">
      <c r="M240" s="20"/>
    </row>
    <row r="241">
      <c r="M241" s="20"/>
    </row>
    <row r="242">
      <c r="M242" s="20"/>
    </row>
    <row r="243">
      <c r="M243" s="20"/>
    </row>
    <row r="244">
      <c r="M244" s="20"/>
    </row>
    <row r="245">
      <c r="M245" s="20"/>
    </row>
    <row r="246">
      <c r="M246" s="20"/>
    </row>
    <row r="247">
      <c r="M247" s="20"/>
    </row>
    <row r="248">
      <c r="M248" s="20"/>
    </row>
    <row r="249">
      <c r="M249" s="20"/>
    </row>
    <row r="250">
      <c r="M250" s="20"/>
    </row>
    <row r="251">
      <c r="M251" s="20"/>
    </row>
    <row r="252">
      <c r="M252" s="20"/>
    </row>
    <row r="253">
      <c r="M253" s="20"/>
    </row>
    <row r="254">
      <c r="M254" s="20"/>
    </row>
    <row r="255">
      <c r="M255" s="20"/>
    </row>
    <row r="256">
      <c r="M256" s="20"/>
    </row>
    <row r="257">
      <c r="M257" s="20"/>
    </row>
    <row r="258">
      <c r="M258" s="20"/>
    </row>
    <row r="259">
      <c r="M259" s="20"/>
    </row>
    <row r="260">
      <c r="M260" s="20"/>
    </row>
    <row r="261">
      <c r="M261" s="20"/>
    </row>
    <row r="262">
      <c r="M262" s="20"/>
    </row>
    <row r="263">
      <c r="M263" s="20"/>
    </row>
    <row r="264">
      <c r="M264" s="20"/>
    </row>
    <row r="265">
      <c r="M265" s="20"/>
    </row>
    <row r="266">
      <c r="M266" s="20"/>
    </row>
    <row r="267">
      <c r="M267" s="20"/>
    </row>
    <row r="268">
      <c r="M268" s="20"/>
    </row>
    <row r="269">
      <c r="M269" s="20"/>
    </row>
    <row r="270">
      <c r="M270" s="20"/>
    </row>
    <row r="271">
      <c r="M271" s="20"/>
    </row>
    <row r="272">
      <c r="M272" s="20"/>
    </row>
    <row r="273">
      <c r="M273" s="20"/>
    </row>
    <row r="274">
      <c r="M274" s="20"/>
    </row>
    <row r="275">
      <c r="M275" s="20"/>
    </row>
    <row r="276">
      <c r="M276" s="20"/>
    </row>
    <row r="277">
      <c r="M277" s="20"/>
    </row>
    <row r="278">
      <c r="M278" s="20"/>
    </row>
    <row r="279">
      <c r="M279" s="20"/>
    </row>
    <row r="280">
      <c r="M280" s="20"/>
    </row>
    <row r="281">
      <c r="M281" s="20"/>
    </row>
    <row r="282">
      <c r="M282" s="20"/>
    </row>
    <row r="283">
      <c r="M283" s="20"/>
    </row>
    <row r="284">
      <c r="M284" s="20"/>
    </row>
    <row r="285">
      <c r="M285" s="20"/>
    </row>
    <row r="286">
      <c r="M286" s="20"/>
    </row>
    <row r="287">
      <c r="M287" s="20"/>
    </row>
    <row r="288">
      <c r="M288" s="20"/>
    </row>
    <row r="289">
      <c r="M289" s="20"/>
    </row>
    <row r="290">
      <c r="M290" s="20"/>
    </row>
    <row r="291">
      <c r="M291" s="20"/>
    </row>
    <row r="292">
      <c r="M292" s="20"/>
    </row>
    <row r="293">
      <c r="M293" s="20"/>
    </row>
    <row r="294">
      <c r="M294" s="20"/>
    </row>
    <row r="295">
      <c r="M295" s="20"/>
    </row>
    <row r="296">
      <c r="M296" s="20"/>
    </row>
    <row r="297">
      <c r="M297" s="20"/>
    </row>
    <row r="298">
      <c r="M298" s="20"/>
    </row>
    <row r="299">
      <c r="M299" s="20"/>
    </row>
    <row r="300">
      <c r="M300" s="20"/>
    </row>
    <row r="301">
      <c r="M301" s="20"/>
    </row>
    <row r="302">
      <c r="M302" s="20"/>
    </row>
    <row r="303">
      <c r="M303" s="20"/>
    </row>
    <row r="304">
      <c r="M304" s="20"/>
    </row>
    <row r="305">
      <c r="M305" s="20"/>
    </row>
    <row r="306">
      <c r="M306" s="20"/>
    </row>
    <row r="307">
      <c r="M307" s="20"/>
    </row>
    <row r="308">
      <c r="M308" s="20"/>
    </row>
    <row r="309">
      <c r="M309" s="20"/>
    </row>
    <row r="310">
      <c r="M310" s="20"/>
    </row>
    <row r="311">
      <c r="M311" s="20"/>
    </row>
    <row r="312">
      <c r="M312" s="20"/>
    </row>
    <row r="313">
      <c r="M313" s="20"/>
    </row>
    <row r="314">
      <c r="M314" s="20"/>
    </row>
    <row r="315">
      <c r="M315" s="20"/>
    </row>
    <row r="316">
      <c r="M316" s="20"/>
    </row>
    <row r="317">
      <c r="M317" s="20"/>
    </row>
    <row r="318">
      <c r="M318" s="20"/>
    </row>
    <row r="319">
      <c r="M319" s="20"/>
    </row>
    <row r="320">
      <c r="M320" s="20"/>
    </row>
    <row r="321">
      <c r="M321" s="20"/>
    </row>
    <row r="322">
      <c r="M322" s="20"/>
    </row>
    <row r="323">
      <c r="M323" s="20"/>
    </row>
    <row r="324">
      <c r="M324" s="20"/>
    </row>
    <row r="325">
      <c r="M325" s="20"/>
    </row>
    <row r="326">
      <c r="M326" s="20"/>
    </row>
    <row r="327">
      <c r="M327" s="20"/>
    </row>
    <row r="328">
      <c r="M328" s="20"/>
    </row>
    <row r="329">
      <c r="M329" s="20"/>
    </row>
    <row r="330">
      <c r="M330" s="20"/>
    </row>
    <row r="331">
      <c r="M331" s="20"/>
    </row>
    <row r="332">
      <c r="M332" s="20"/>
    </row>
    <row r="333">
      <c r="M333" s="20"/>
    </row>
    <row r="334">
      <c r="M334" s="20"/>
    </row>
    <row r="335">
      <c r="M335" s="20"/>
    </row>
    <row r="336">
      <c r="M336" s="20"/>
    </row>
    <row r="337">
      <c r="M337" s="20"/>
    </row>
    <row r="338">
      <c r="M338" s="20"/>
    </row>
    <row r="339">
      <c r="M339" s="20"/>
    </row>
    <row r="340">
      <c r="M340" s="20"/>
    </row>
    <row r="341">
      <c r="M341" s="20"/>
    </row>
    <row r="342">
      <c r="M342" s="20"/>
    </row>
    <row r="343">
      <c r="M343" s="20"/>
    </row>
    <row r="344">
      <c r="M344" s="20"/>
    </row>
    <row r="345">
      <c r="M345" s="20"/>
    </row>
    <row r="346">
      <c r="M346" s="20"/>
    </row>
    <row r="347">
      <c r="M347" s="20"/>
    </row>
    <row r="348">
      <c r="M348" s="20"/>
    </row>
    <row r="349">
      <c r="M349" s="20"/>
    </row>
    <row r="350">
      <c r="M350" s="20"/>
    </row>
    <row r="351">
      <c r="M351" s="20"/>
    </row>
    <row r="352">
      <c r="M352" s="20"/>
    </row>
    <row r="353">
      <c r="M353" s="20"/>
    </row>
    <row r="354">
      <c r="M354" s="20"/>
    </row>
    <row r="355">
      <c r="M355" s="20"/>
    </row>
    <row r="356">
      <c r="M356" s="20"/>
    </row>
    <row r="357">
      <c r="M357" s="20"/>
    </row>
    <row r="358">
      <c r="M358" s="20"/>
    </row>
    <row r="359">
      <c r="M359" s="20"/>
    </row>
    <row r="360">
      <c r="M360" s="20"/>
    </row>
    <row r="361">
      <c r="M361" s="20"/>
    </row>
    <row r="362">
      <c r="M362" s="20"/>
    </row>
    <row r="363">
      <c r="M363" s="20"/>
    </row>
    <row r="364">
      <c r="M364" s="20"/>
    </row>
    <row r="365">
      <c r="M365" s="20"/>
    </row>
    <row r="366">
      <c r="M366" s="20"/>
    </row>
    <row r="367">
      <c r="M367" s="20"/>
    </row>
    <row r="368">
      <c r="M368" s="20"/>
    </row>
    <row r="369">
      <c r="M369" s="20"/>
    </row>
    <row r="370">
      <c r="M370" s="20"/>
    </row>
    <row r="371">
      <c r="M371" s="20"/>
    </row>
    <row r="372">
      <c r="M372" s="20"/>
    </row>
    <row r="373">
      <c r="M373" s="20"/>
    </row>
    <row r="374">
      <c r="M374" s="20"/>
    </row>
    <row r="375">
      <c r="M375" s="20"/>
    </row>
    <row r="376">
      <c r="M376" s="20"/>
    </row>
    <row r="377">
      <c r="M377" s="20"/>
    </row>
    <row r="378">
      <c r="M378" s="20"/>
    </row>
    <row r="379">
      <c r="M379" s="20"/>
    </row>
    <row r="380">
      <c r="M380" s="20"/>
    </row>
    <row r="381">
      <c r="M381" s="20"/>
    </row>
    <row r="382">
      <c r="M382" s="20"/>
    </row>
    <row r="383">
      <c r="M383" s="20"/>
    </row>
    <row r="384">
      <c r="M384" s="20"/>
    </row>
    <row r="385">
      <c r="M385" s="20"/>
    </row>
    <row r="386">
      <c r="M386" s="20"/>
    </row>
    <row r="387">
      <c r="M387" s="20"/>
    </row>
    <row r="388">
      <c r="M388" s="20"/>
    </row>
    <row r="389">
      <c r="M389" s="20"/>
    </row>
    <row r="390">
      <c r="M390" s="20"/>
    </row>
    <row r="391">
      <c r="M391" s="20"/>
    </row>
    <row r="392">
      <c r="M392" s="20"/>
    </row>
    <row r="393">
      <c r="M393" s="20"/>
    </row>
    <row r="394">
      <c r="M394" s="20"/>
    </row>
    <row r="395">
      <c r="M395" s="20"/>
    </row>
    <row r="396">
      <c r="M396" s="20"/>
    </row>
    <row r="397">
      <c r="M397" s="20"/>
    </row>
    <row r="398">
      <c r="M398" s="20"/>
    </row>
    <row r="399">
      <c r="M399" s="20"/>
    </row>
    <row r="400">
      <c r="M400" s="20"/>
    </row>
    <row r="401">
      <c r="M401" s="20"/>
    </row>
    <row r="402">
      <c r="M402" s="20"/>
    </row>
    <row r="403">
      <c r="M403" s="20"/>
    </row>
    <row r="404">
      <c r="M404" s="20"/>
    </row>
    <row r="405">
      <c r="M405" s="20"/>
    </row>
    <row r="406">
      <c r="M406" s="20"/>
    </row>
    <row r="407">
      <c r="M407" s="20"/>
    </row>
    <row r="408">
      <c r="M408" s="20"/>
    </row>
    <row r="409">
      <c r="M409" s="20"/>
    </row>
    <row r="410">
      <c r="M410" s="20"/>
    </row>
    <row r="411">
      <c r="M411" s="20"/>
    </row>
    <row r="412">
      <c r="M412" s="20"/>
    </row>
    <row r="413">
      <c r="M413" s="20"/>
    </row>
    <row r="414">
      <c r="M414" s="20"/>
    </row>
    <row r="415">
      <c r="M415" s="20"/>
    </row>
    <row r="416">
      <c r="M416" s="20"/>
    </row>
    <row r="417">
      <c r="M417" s="20"/>
    </row>
    <row r="418">
      <c r="M418" s="20"/>
    </row>
    <row r="419">
      <c r="M419" s="20"/>
    </row>
    <row r="420">
      <c r="M420" s="20"/>
    </row>
    <row r="421">
      <c r="M421" s="20"/>
    </row>
    <row r="422">
      <c r="M422" s="20"/>
    </row>
    <row r="423">
      <c r="M423" s="20"/>
    </row>
    <row r="424">
      <c r="M424" s="20"/>
    </row>
    <row r="425">
      <c r="M425" s="20"/>
    </row>
    <row r="426">
      <c r="M426" s="20"/>
    </row>
    <row r="427">
      <c r="M427" s="20"/>
    </row>
    <row r="428">
      <c r="M428" s="20"/>
    </row>
    <row r="429">
      <c r="M429" s="20"/>
    </row>
    <row r="430">
      <c r="M430" s="20"/>
    </row>
    <row r="431">
      <c r="M431" s="20"/>
    </row>
    <row r="432">
      <c r="M432" s="20"/>
    </row>
    <row r="433">
      <c r="M433" s="20"/>
    </row>
    <row r="434">
      <c r="M434" s="20"/>
    </row>
    <row r="435">
      <c r="M435" s="20"/>
    </row>
    <row r="436">
      <c r="M436" s="20"/>
    </row>
    <row r="437">
      <c r="M437" s="20"/>
    </row>
    <row r="438">
      <c r="M438" s="20"/>
    </row>
    <row r="439">
      <c r="M439" s="20"/>
    </row>
    <row r="440">
      <c r="M440" s="20"/>
    </row>
    <row r="441">
      <c r="M441" s="20"/>
    </row>
    <row r="442">
      <c r="M442" s="20"/>
    </row>
    <row r="443">
      <c r="M443" s="20"/>
    </row>
    <row r="444">
      <c r="M444" s="20"/>
    </row>
    <row r="445">
      <c r="M445" s="20"/>
    </row>
    <row r="446">
      <c r="M446" s="20"/>
    </row>
    <row r="447">
      <c r="M447" s="20"/>
    </row>
    <row r="448">
      <c r="M448" s="20"/>
    </row>
    <row r="449">
      <c r="M449" s="20"/>
    </row>
    <row r="450">
      <c r="M450" s="20"/>
    </row>
    <row r="451">
      <c r="M451" s="20"/>
    </row>
    <row r="452">
      <c r="M452" s="20"/>
    </row>
    <row r="453">
      <c r="M453" s="20"/>
    </row>
    <row r="454">
      <c r="M454" s="20"/>
    </row>
    <row r="455">
      <c r="M455" s="20"/>
    </row>
    <row r="456">
      <c r="M456" s="20"/>
    </row>
    <row r="457">
      <c r="M457" s="20"/>
    </row>
    <row r="458">
      <c r="M458" s="20"/>
    </row>
    <row r="459">
      <c r="M459" s="20"/>
    </row>
    <row r="460">
      <c r="M460" s="20"/>
    </row>
    <row r="461">
      <c r="M461" s="20"/>
    </row>
    <row r="462">
      <c r="M462" s="20"/>
    </row>
    <row r="463">
      <c r="M463" s="20"/>
    </row>
    <row r="464">
      <c r="M464" s="20"/>
    </row>
    <row r="465">
      <c r="M465" s="20"/>
    </row>
    <row r="466">
      <c r="M466" s="20"/>
    </row>
    <row r="467">
      <c r="M467" s="20"/>
    </row>
    <row r="468">
      <c r="M468" s="20"/>
    </row>
    <row r="469">
      <c r="M469" s="20"/>
    </row>
    <row r="470">
      <c r="M470" s="20"/>
    </row>
    <row r="471">
      <c r="M471" s="20"/>
    </row>
    <row r="472">
      <c r="M472" s="20"/>
    </row>
    <row r="473">
      <c r="M473" s="20"/>
    </row>
    <row r="474">
      <c r="M474" s="20"/>
    </row>
    <row r="475">
      <c r="M475" s="20"/>
    </row>
    <row r="476">
      <c r="M476" s="20"/>
    </row>
    <row r="477">
      <c r="M477" s="20"/>
    </row>
    <row r="478">
      <c r="M478" s="20"/>
    </row>
    <row r="479">
      <c r="M479" s="20"/>
    </row>
    <row r="480">
      <c r="M480" s="20"/>
    </row>
    <row r="481">
      <c r="M481" s="20"/>
    </row>
    <row r="482">
      <c r="M482" s="20"/>
    </row>
    <row r="483">
      <c r="M483" s="20"/>
    </row>
    <row r="484">
      <c r="M484" s="20"/>
    </row>
    <row r="485">
      <c r="M485" s="20"/>
    </row>
    <row r="486">
      <c r="M486" s="20"/>
    </row>
    <row r="487">
      <c r="M487" s="20"/>
    </row>
    <row r="488">
      <c r="M488" s="20"/>
    </row>
    <row r="489">
      <c r="M489" s="20"/>
    </row>
    <row r="490">
      <c r="M490" s="20"/>
    </row>
    <row r="491">
      <c r="M491" s="20"/>
    </row>
    <row r="492">
      <c r="M492" s="20"/>
    </row>
    <row r="493">
      <c r="M493" s="20"/>
    </row>
    <row r="494">
      <c r="M494" s="20"/>
    </row>
    <row r="495">
      <c r="M495" s="20"/>
    </row>
    <row r="496">
      <c r="M496" s="20"/>
    </row>
    <row r="497">
      <c r="M497" s="20"/>
    </row>
    <row r="498">
      <c r="M498" s="20"/>
    </row>
    <row r="499">
      <c r="M499" s="20"/>
    </row>
    <row r="500">
      <c r="M500" s="20"/>
    </row>
    <row r="501">
      <c r="M501" s="20"/>
    </row>
    <row r="502">
      <c r="M502" s="20"/>
    </row>
    <row r="503">
      <c r="M503" s="20"/>
    </row>
    <row r="504">
      <c r="M504" s="20"/>
    </row>
    <row r="505">
      <c r="M505" s="20"/>
    </row>
    <row r="506">
      <c r="M506" s="20"/>
    </row>
    <row r="507">
      <c r="M507" s="20"/>
    </row>
    <row r="508">
      <c r="M508" s="20"/>
    </row>
    <row r="509">
      <c r="M509" s="20"/>
    </row>
    <row r="510">
      <c r="M510" s="20"/>
    </row>
    <row r="511">
      <c r="M511" s="20"/>
    </row>
    <row r="512">
      <c r="M512" s="20"/>
    </row>
    <row r="513">
      <c r="M513" s="20"/>
    </row>
    <row r="514">
      <c r="M514" s="20"/>
    </row>
    <row r="515">
      <c r="M515" s="20"/>
    </row>
    <row r="516">
      <c r="M516" s="20"/>
    </row>
    <row r="517">
      <c r="M517" s="20"/>
    </row>
    <row r="518">
      <c r="M518" s="20"/>
    </row>
    <row r="519">
      <c r="M519" s="20"/>
    </row>
    <row r="520">
      <c r="M520" s="20"/>
    </row>
    <row r="521">
      <c r="M521" s="20"/>
    </row>
    <row r="522">
      <c r="M522" s="20"/>
    </row>
    <row r="523">
      <c r="M523" s="20"/>
    </row>
    <row r="524">
      <c r="M524" s="20"/>
    </row>
    <row r="525">
      <c r="M525" s="20"/>
    </row>
    <row r="526">
      <c r="M526" s="20"/>
    </row>
    <row r="527">
      <c r="M527" s="20"/>
    </row>
    <row r="528">
      <c r="M528" s="20"/>
    </row>
    <row r="529">
      <c r="M529" s="20"/>
    </row>
    <row r="530">
      <c r="M530" s="20"/>
    </row>
    <row r="531">
      <c r="M531" s="20"/>
    </row>
    <row r="532">
      <c r="M532" s="20"/>
    </row>
    <row r="533">
      <c r="M533" s="20"/>
    </row>
    <row r="534">
      <c r="M534" s="20"/>
    </row>
    <row r="535">
      <c r="M535" s="20"/>
    </row>
    <row r="536">
      <c r="M536" s="20"/>
    </row>
    <row r="537">
      <c r="M537" s="20"/>
    </row>
    <row r="538">
      <c r="M538" s="20"/>
    </row>
    <row r="539">
      <c r="M539" s="20"/>
    </row>
    <row r="540">
      <c r="M540" s="20"/>
    </row>
    <row r="541">
      <c r="M541" s="20"/>
    </row>
    <row r="542">
      <c r="M542" s="20"/>
    </row>
    <row r="543">
      <c r="M543" s="20"/>
    </row>
    <row r="544">
      <c r="M544" s="20"/>
    </row>
    <row r="545">
      <c r="M545" s="20"/>
    </row>
    <row r="546">
      <c r="M546" s="20"/>
    </row>
    <row r="547">
      <c r="M547" s="20"/>
    </row>
    <row r="548">
      <c r="M548" s="20"/>
    </row>
    <row r="549">
      <c r="M549" s="20"/>
    </row>
    <row r="550">
      <c r="M550" s="20"/>
    </row>
    <row r="551">
      <c r="M551" s="20"/>
    </row>
    <row r="552">
      <c r="M552" s="20"/>
    </row>
    <row r="553">
      <c r="M553" s="20"/>
    </row>
    <row r="554">
      <c r="M554" s="20"/>
    </row>
    <row r="555">
      <c r="M555" s="20"/>
    </row>
    <row r="556">
      <c r="M556" s="20"/>
    </row>
    <row r="557">
      <c r="M557" s="20"/>
    </row>
    <row r="558">
      <c r="M558" s="20"/>
    </row>
    <row r="559">
      <c r="M559" s="20"/>
    </row>
    <row r="560">
      <c r="M560" s="20"/>
    </row>
    <row r="561">
      <c r="M561" s="20"/>
    </row>
    <row r="562">
      <c r="M562" s="20"/>
    </row>
    <row r="563">
      <c r="M563" s="20"/>
    </row>
    <row r="564">
      <c r="M564" s="20"/>
    </row>
    <row r="565">
      <c r="M565" s="20"/>
    </row>
    <row r="566">
      <c r="M566" s="20"/>
    </row>
    <row r="567">
      <c r="M567" s="20"/>
    </row>
    <row r="568">
      <c r="M568" s="20"/>
    </row>
    <row r="569">
      <c r="M569" s="20"/>
    </row>
    <row r="570">
      <c r="M570" s="20"/>
    </row>
    <row r="571">
      <c r="M571" s="20"/>
    </row>
    <row r="572">
      <c r="M572" s="20"/>
    </row>
    <row r="573">
      <c r="M573" s="20"/>
    </row>
    <row r="574">
      <c r="M574" s="20"/>
    </row>
    <row r="575">
      <c r="M575" s="20"/>
    </row>
    <row r="576">
      <c r="M576" s="20"/>
    </row>
    <row r="577">
      <c r="M577" s="20"/>
    </row>
    <row r="578">
      <c r="M578" s="20"/>
    </row>
    <row r="579">
      <c r="M579" s="20"/>
    </row>
    <row r="580">
      <c r="M580" s="20"/>
    </row>
    <row r="581">
      <c r="M581" s="20"/>
    </row>
    <row r="582">
      <c r="M582" s="20"/>
    </row>
    <row r="583">
      <c r="M583" s="20"/>
    </row>
    <row r="584">
      <c r="M584" s="20"/>
    </row>
    <row r="585">
      <c r="M585" s="20"/>
    </row>
    <row r="586">
      <c r="M586" s="20"/>
    </row>
    <row r="587">
      <c r="M587" s="20"/>
    </row>
    <row r="588">
      <c r="M588" s="20"/>
    </row>
    <row r="589">
      <c r="M589" s="20"/>
    </row>
    <row r="590">
      <c r="M590" s="20"/>
    </row>
    <row r="591">
      <c r="M591" s="20"/>
    </row>
    <row r="592">
      <c r="M592" s="20"/>
    </row>
    <row r="593">
      <c r="M593" s="20"/>
    </row>
    <row r="594">
      <c r="M594" s="20"/>
    </row>
    <row r="595">
      <c r="M595" s="20"/>
    </row>
    <row r="596">
      <c r="M596" s="20"/>
    </row>
    <row r="597">
      <c r="M597" s="20"/>
    </row>
    <row r="598">
      <c r="M598" s="20"/>
    </row>
    <row r="599">
      <c r="M599" s="20"/>
    </row>
    <row r="600">
      <c r="M600" s="20"/>
    </row>
    <row r="601">
      <c r="M601" s="20"/>
    </row>
    <row r="602">
      <c r="M602" s="20"/>
    </row>
    <row r="603">
      <c r="M603" s="20"/>
    </row>
    <row r="604">
      <c r="M604" s="20"/>
    </row>
    <row r="605">
      <c r="M605" s="20"/>
    </row>
    <row r="606">
      <c r="M606" s="20"/>
    </row>
    <row r="607">
      <c r="M607" s="20"/>
    </row>
    <row r="608">
      <c r="M608" s="20"/>
    </row>
    <row r="609">
      <c r="M609" s="20"/>
    </row>
    <row r="610">
      <c r="M610" s="20"/>
    </row>
    <row r="611">
      <c r="M611" s="20"/>
    </row>
    <row r="612">
      <c r="M612" s="20"/>
    </row>
    <row r="613">
      <c r="M613" s="20"/>
    </row>
    <row r="614">
      <c r="M614" s="20"/>
    </row>
    <row r="615">
      <c r="M615" s="20"/>
    </row>
    <row r="616">
      <c r="M616" s="20"/>
    </row>
    <row r="617">
      <c r="M617" s="20"/>
    </row>
    <row r="618">
      <c r="M618" s="20"/>
    </row>
    <row r="619">
      <c r="M619" s="20"/>
    </row>
    <row r="620">
      <c r="M620" s="20"/>
    </row>
    <row r="621">
      <c r="M621" s="20"/>
    </row>
    <row r="622">
      <c r="M622" s="20"/>
    </row>
    <row r="623">
      <c r="M623" s="20"/>
    </row>
    <row r="624">
      <c r="M624" s="20"/>
    </row>
    <row r="625">
      <c r="M625" s="20"/>
    </row>
    <row r="626">
      <c r="M626" s="20"/>
    </row>
    <row r="627">
      <c r="M627" s="20"/>
    </row>
    <row r="628">
      <c r="M628" s="20"/>
    </row>
    <row r="629">
      <c r="M629" s="20"/>
    </row>
    <row r="630">
      <c r="M630" s="20"/>
    </row>
    <row r="631">
      <c r="M631" s="20"/>
    </row>
    <row r="632">
      <c r="M632" s="20"/>
    </row>
    <row r="633">
      <c r="M633" s="20"/>
    </row>
    <row r="634">
      <c r="M634" s="20"/>
    </row>
    <row r="635">
      <c r="M635" s="20"/>
    </row>
    <row r="636">
      <c r="M636" s="20"/>
    </row>
    <row r="637">
      <c r="M637" s="20"/>
    </row>
    <row r="638">
      <c r="M638" s="20"/>
    </row>
    <row r="639">
      <c r="M639" s="20"/>
    </row>
    <row r="640">
      <c r="M640" s="20"/>
    </row>
    <row r="641">
      <c r="M641" s="20"/>
    </row>
    <row r="642">
      <c r="M642" s="20"/>
    </row>
    <row r="643">
      <c r="M643" s="20"/>
    </row>
    <row r="644">
      <c r="M644" s="20"/>
    </row>
    <row r="645">
      <c r="M645" s="20"/>
    </row>
    <row r="646">
      <c r="M646" s="20"/>
    </row>
    <row r="647">
      <c r="M647" s="20"/>
    </row>
    <row r="648">
      <c r="M648" s="20"/>
    </row>
    <row r="649">
      <c r="M649" s="20"/>
    </row>
    <row r="650">
      <c r="M650" s="20"/>
    </row>
    <row r="651">
      <c r="M651" s="20"/>
    </row>
    <row r="652">
      <c r="M652" s="20"/>
    </row>
    <row r="653">
      <c r="M653" s="20"/>
    </row>
    <row r="654">
      <c r="M654" s="20"/>
    </row>
    <row r="655">
      <c r="M655" s="20"/>
    </row>
    <row r="656">
      <c r="M656" s="20"/>
    </row>
    <row r="657">
      <c r="M657" s="20"/>
    </row>
    <row r="658">
      <c r="M658" s="20"/>
    </row>
    <row r="659">
      <c r="M659" s="20"/>
    </row>
    <row r="660">
      <c r="M660" s="20"/>
    </row>
    <row r="661">
      <c r="M661" s="20"/>
    </row>
    <row r="662">
      <c r="M662" s="20"/>
    </row>
    <row r="663">
      <c r="M663" s="20"/>
    </row>
    <row r="664">
      <c r="M664" s="20"/>
    </row>
    <row r="665">
      <c r="M665" s="20"/>
    </row>
    <row r="666">
      <c r="M666" s="20"/>
    </row>
    <row r="667">
      <c r="M667" s="20"/>
    </row>
    <row r="668">
      <c r="M668" s="20"/>
    </row>
    <row r="669">
      <c r="M669" s="20"/>
    </row>
    <row r="670">
      <c r="M670" s="20"/>
    </row>
    <row r="671">
      <c r="M671" s="20"/>
    </row>
    <row r="672">
      <c r="M672" s="20"/>
    </row>
    <row r="673">
      <c r="M673" s="20"/>
    </row>
    <row r="674">
      <c r="M674" s="20"/>
    </row>
    <row r="675">
      <c r="M675" s="20"/>
    </row>
    <row r="676">
      <c r="M676" s="20"/>
    </row>
    <row r="677">
      <c r="M677" s="20"/>
    </row>
    <row r="678">
      <c r="M678" s="20"/>
    </row>
    <row r="679">
      <c r="M679" s="20"/>
    </row>
    <row r="680">
      <c r="M680" s="20"/>
    </row>
    <row r="681">
      <c r="M681" s="20"/>
    </row>
    <row r="682">
      <c r="M682" s="20"/>
    </row>
    <row r="683">
      <c r="M683" s="20"/>
    </row>
    <row r="684">
      <c r="M684" s="20"/>
    </row>
    <row r="685">
      <c r="M685" s="20"/>
    </row>
    <row r="686">
      <c r="M686" s="20"/>
    </row>
    <row r="687">
      <c r="M687" s="20"/>
    </row>
    <row r="688">
      <c r="M688" s="20"/>
    </row>
    <row r="689">
      <c r="M689" s="20"/>
    </row>
    <row r="690">
      <c r="M690" s="20"/>
    </row>
    <row r="691">
      <c r="M691" s="20"/>
    </row>
    <row r="692">
      <c r="M692" s="20"/>
    </row>
    <row r="693">
      <c r="M693" s="20"/>
    </row>
    <row r="694">
      <c r="M694" s="20"/>
    </row>
    <row r="695">
      <c r="M695" s="20"/>
    </row>
    <row r="696">
      <c r="M696" s="20"/>
    </row>
    <row r="697">
      <c r="M697" s="20"/>
    </row>
    <row r="698">
      <c r="M698" s="20"/>
    </row>
    <row r="699">
      <c r="M699" s="20"/>
    </row>
    <row r="700">
      <c r="M700" s="20"/>
    </row>
    <row r="701">
      <c r="M701" s="20"/>
    </row>
    <row r="702">
      <c r="M702" s="20"/>
    </row>
    <row r="703">
      <c r="M703" s="20"/>
    </row>
    <row r="704">
      <c r="M704" s="20"/>
    </row>
    <row r="705">
      <c r="M705" s="20"/>
    </row>
    <row r="706">
      <c r="M706" s="20"/>
    </row>
    <row r="707">
      <c r="M707" s="20"/>
    </row>
    <row r="708">
      <c r="M708" s="20"/>
    </row>
    <row r="709">
      <c r="M709" s="20"/>
    </row>
    <row r="710">
      <c r="M710" s="20"/>
    </row>
    <row r="711">
      <c r="M711" s="20"/>
    </row>
    <row r="712">
      <c r="M712" s="20"/>
    </row>
    <row r="713">
      <c r="M713" s="20"/>
    </row>
    <row r="714">
      <c r="M714" s="20"/>
    </row>
    <row r="715">
      <c r="M715" s="20"/>
    </row>
    <row r="716">
      <c r="M716" s="20"/>
    </row>
    <row r="717">
      <c r="M717" s="20"/>
    </row>
    <row r="718">
      <c r="M718" s="20"/>
    </row>
    <row r="719">
      <c r="M719" s="20"/>
    </row>
    <row r="720">
      <c r="M720" s="20"/>
    </row>
    <row r="721">
      <c r="M721" s="20"/>
    </row>
    <row r="722">
      <c r="M722" s="20"/>
    </row>
    <row r="723">
      <c r="M723" s="20"/>
    </row>
    <row r="724">
      <c r="M724" s="20"/>
    </row>
    <row r="725">
      <c r="M725" s="20"/>
    </row>
    <row r="726">
      <c r="M726" s="20"/>
    </row>
    <row r="727">
      <c r="M727" s="20"/>
    </row>
    <row r="728">
      <c r="M728" s="20"/>
    </row>
    <row r="729">
      <c r="M729" s="20"/>
    </row>
    <row r="730">
      <c r="M730" s="20"/>
    </row>
    <row r="731">
      <c r="M731" s="20"/>
    </row>
    <row r="732">
      <c r="M732" s="20"/>
    </row>
    <row r="733">
      <c r="M733" s="20"/>
    </row>
    <row r="734">
      <c r="M734" s="20"/>
    </row>
    <row r="735">
      <c r="M735" s="20"/>
    </row>
    <row r="736">
      <c r="M736" s="20"/>
    </row>
    <row r="737">
      <c r="M737" s="20"/>
    </row>
    <row r="738">
      <c r="M738" s="20"/>
    </row>
    <row r="739">
      <c r="M739" s="20"/>
    </row>
    <row r="740">
      <c r="M740" s="20"/>
    </row>
    <row r="741">
      <c r="M741" s="20"/>
    </row>
    <row r="742">
      <c r="M742" s="20"/>
    </row>
    <row r="743">
      <c r="M743" s="20"/>
    </row>
    <row r="744">
      <c r="M744" s="20"/>
    </row>
    <row r="745">
      <c r="M745" s="20"/>
    </row>
    <row r="746">
      <c r="M746" s="20"/>
    </row>
    <row r="747">
      <c r="M747" s="20"/>
    </row>
    <row r="748">
      <c r="M748" s="20"/>
    </row>
    <row r="749">
      <c r="M749" s="20"/>
    </row>
    <row r="750">
      <c r="M750" s="20"/>
    </row>
    <row r="751">
      <c r="M751" s="20"/>
    </row>
    <row r="752">
      <c r="M752" s="20"/>
    </row>
    <row r="753">
      <c r="M753" s="20"/>
    </row>
    <row r="754">
      <c r="M754" s="20"/>
    </row>
    <row r="755">
      <c r="M755" s="20"/>
    </row>
    <row r="756">
      <c r="M756" s="20"/>
    </row>
    <row r="757">
      <c r="M757" s="20"/>
    </row>
    <row r="758">
      <c r="M758" s="20"/>
    </row>
    <row r="759">
      <c r="M759" s="20"/>
    </row>
    <row r="760">
      <c r="M760" s="20"/>
    </row>
    <row r="761">
      <c r="M761" s="20"/>
    </row>
    <row r="762">
      <c r="M762" s="20"/>
    </row>
    <row r="763">
      <c r="M763" s="20"/>
    </row>
    <row r="764">
      <c r="M764" s="20"/>
    </row>
    <row r="765">
      <c r="M765" s="20"/>
    </row>
    <row r="766">
      <c r="M766" s="20"/>
    </row>
    <row r="767">
      <c r="M767" s="20"/>
    </row>
    <row r="768">
      <c r="M768" s="20"/>
    </row>
    <row r="769">
      <c r="M769" s="20"/>
    </row>
    <row r="770">
      <c r="M770" s="20"/>
    </row>
    <row r="771">
      <c r="M771" s="20"/>
    </row>
    <row r="772">
      <c r="M772" s="20"/>
    </row>
    <row r="773">
      <c r="M773" s="20"/>
    </row>
    <row r="774">
      <c r="M774" s="20"/>
    </row>
    <row r="775">
      <c r="M775" s="20"/>
    </row>
    <row r="776">
      <c r="M776" s="20"/>
    </row>
    <row r="777">
      <c r="M777" s="20"/>
    </row>
    <row r="778">
      <c r="M778" s="20"/>
    </row>
    <row r="779">
      <c r="M779" s="20"/>
    </row>
    <row r="780">
      <c r="M780" s="20"/>
    </row>
    <row r="781">
      <c r="M781" s="20"/>
    </row>
    <row r="782">
      <c r="M782" s="20"/>
    </row>
    <row r="783">
      <c r="M783" s="20"/>
    </row>
    <row r="784">
      <c r="M784" s="20"/>
    </row>
    <row r="785">
      <c r="M785" s="20"/>
    </row>
    <row r="786">
      <c r="M786" s="20"/>
    </row>
    <row r="787">
      <c r="M787" s="20"/>
    </row>
    <row r="788">
      <c r="M788" s="20"/>
    </row>
    <row r="789">
      <c r="M789" s="20"/>
    </row>
    <row r="790">
      <c r="M790" s="20"/>
    </row>
    <row r="791">
      <c r="M791" s="20"/>
    </row>
    <row r="792">
      <c r="M792" s="20"/>
    </row>
    <row r="793">
      <c r="M793" s="20"/>
    </row>
    <row r="794">
      <c r="M794" s="20"/>
    </row>
    <row r="795">
      <c r="M795" s="20"/>
    </row>
    <row r="796">
      <c r="M796" s="20"/>
    </row>
    <row r="797">
      <c r="M797" s="20"/>
    </row>
    <row r="798">
      <c r="M798" s="20"/>
    </row>
    <row r="799">
      <c r="M799" s="20"/>
    </row>
    <row r="800">
      <c r="M800" s="20"/>
    </row>
    <row r="801">
      <c r="M801" s="20"/>
    </row>
    <row r="802">
      <c r="M802" s="20"/>
    </row>
    <row r="803">
      <c r="M803" s="20"/>
    </row>
    <row r="804">
      <c r="M804" s="20"/>
    </row>
    <row r="805">
      <c r="M805" s="20"/>
    </row>
    <row r="806">
      <c r="M806" s="20"/>
    </row>
    <row r="807">
      <c r="M807" s="20"/>
    </row>
    <row r="808">
      <c r="M808" s="20"/>
    </row>
    <row r="809">
      <c r="M809" s="20"/>
    </row>
    <row r="810">
      <c r="M810" s="20"/>
    </row>
    <row r="811">
      <c r="M811" s="20"/>
    </row>
    <row r="812">
      <c r="M812" s="20"/>
    </row>
    <row r="813">
      <c r="M813" s="20"/>
    </row>
    <row r="814">
      <c r="M814" s="20"/>
    </row>
    <row r="815">
      <c r="M815" s="20"/>
    </row>
    <row r="816">
      <c r="M816" s="20"/>
    </row>
    <row r="817">
      <c r="M817" s="20"/>
    </row>
    <row r="818">
      <c r="M818" s="20"/>
    </row>
    <row r="819">
      <c r="M819" s="20"/>
    </row>
    <row r="820">
      <c r="M820" s="20"/>
    </row>
    <row r="821">
      <c r="M821" s="20"/>
    </row>
    <row r="822">
      <c r="M822" s="20"/>
    </row>
    <row r="823">
      <c r="M823" s="20"/>
    </row>
    <row r="824">
      <c r="M824" s="20"/>
    </row>
    <row r="825">
      <c r="M825" s="20"/>
    </row>
    <row r="826">
      <c r="M826" s="20"/>
    </row>
    <row r="827">
      <c r="M827" s="20"/>
    </row>
    <row r="828">
      <c r="M828" s="20"/>
    </row>
    <row r="829">
      <c r="M829" s="20"/>
    </row>
    <row r="830">
      <c r="M830" s="20"/>
    </row>
    <row r="831">
      <c r="M831" s="20"/>
    </row>
    <row r="832">
      <c r="M832" s="20"/>
    </row>
    <row r="833">
      <c r="M833" s="20"/>
    </row>
    <row r="834">
      <c r="M834" s="20"/>
    </row>
    <row r="835">
      <c r="M835" s="20"/>
    </row>
    <row r="836">
      <c r="M836" s="20"/>
    </row>
    <row r="837">
      <c r="M837" s="20"/>
    </row>
    <row r="838">
      <c r="M838" s="20"/>
    </row>
    <row r="839">
      <c r="M839" s="20"/>
    </row>
    <row r="840">
      <c r="M840" s="20"/>
    </row>
    <row r="841">
      <c r="M841" s="20"/>
    </row>
    <row r="842">
      <c r="M842" s="20"/>
    </row>
    <row r="843">
      <c r="M843" s="20"/>
    </row>
    <row r="844">
      <c r="M844" s="20"/>
    </row>
    <row r="845">
      <c r="M845" s="20"/>
    </row>
    <row r="846">
      <c r="M846" s="20"/>
    </row>
    <row r="847">
      <c r="M847" s="20"/>
    </row>
    <row r="848">
      <c r="M848" s="20"/>
    </row>
    <row r="849">
      <c r="M849" s="20"/>
    </row>
    <row r="850">
      <c r="M850" s="20"/>
    </row>
    <row r="851">
      <c r="M851" s="20"/>
    </row>
    <row r="852">
      <c r="M852" s="20"/>
    </row>
    <row r="853">
      <c r="M853" s="20"/>
    </row>
    <row r="854">
      <c r="M854" s="20"/>
    </row>
    <row r="855">
      <c r="M855" s="20"/>
    </row>
    <row r="856">
      <c r="M856" s="20"/>
    </row>
    <row r="857">
      <c r="M857" s="20"/>
    </row>
    <row r="858">
      <c r="M858" s="20"/>
    </row>
    <row r="859">
      <c r="M859" s="20"/>
    </row>
    <row r="860">
      <c r="M860" s="20"/>
    </row>
    <row r="861">
      <c r="M861" s="20"/>
    </row>
    <row r="862">
      <c r="M862" s="20"/>
    </row>
    <row r="863">
      <c r="M863" s="20"/>
    </row>
    <row r="864">
      <c r="M864" s="20"/>
    </row>
    <row r="865">
      <c r="M865" s="20"/>
    </row>
    <row r="866">
      <c r="M866" s="20"/>
    </row>
    <row r="867">
      <c r="M867" s="20"/>
    </row>
    <row r="868">
      <c r="M868" s="20"/>
    </row>
    <row r="869">
      <c r="M869" s="20"/>
    </row>
    <row r="870">
      <c r="M870" s="20"/>
    </row>
    <row r="871">
      <c r="M871" s="20"/>
    </row>
    <row r="872">
      <c r="M872" s="20"/>
    </row>
    <row r="873">
      <c r="M873" s="20"/>
    </row>
    <row r="874">
      <c r="M874" s="20"/>
    </row>
    <row r="875">
      <c r="M875" s="20"/>
    </row>
    <row r="876">
      <c r="M876" s="20"/>
    </row>
    <row r="877">
      <c r="M877" s="20"/>
    </row>
    <row r="878">
      <c r="M878" s="20"/>
    </row>
    <row r="879">
      <c r="M879" s="20"/>
    </row>
    <row r="880">
      <c r="M880" s="20"/>
    </row>
    <row r="881">
      <c r="M881" s="20"/>
    </row>
    <row r="882">
      <c r="M882" s="20"/>
    </row>
    <row r="883">
      <c r="M883" s="20"/>
    </row>
    <row r="884">
      <c r="M884" s="20"/>
    </row>
    <row r="885">
      <c r="M885" s="20"/>
    </row>
    <row r="886">
      <c r="M886" s="20"/>
    </row>
    <row r="887">
      <c r="M887" s="20"/>
    </row>
    <row r="888">
      <c r="M888" s="20"/>
    </row>
    <row r="889">
      <c r="M889" s="20"/>
    </row>
    <row r="890">
      <c r="M890" s="20"/>
    </row>
    <row r="891">
      <c r="M891" s="20"/>
    </row>
    <row r="892">
      <c r="M892" s="20"/>
    </row>
    <row r="893">
      <c r="M893" s="20"/>
    </row>
    <row r="894">
      <c r="M894" s="20"/>
    </row>
    <row r="895">
      <c r="M895" s="20"/>
    </row>
    <row r="896">
      <c r="M896" s="20"/>
    </row>
    <row r="897">
      <c r="M897" s="20"/>
    </row>
    <row r="898">
      <c r="M898" s="20"/>
    </row>
    <row r="899">
      <c r="M899" s="20"/>
    </row>
    <row r="900">
      <c r="M900" s="20"/>
    </row>
    <row r="901">
      <c r="M901" s="20"/>
    </row>
    <row r="902">
      <c r="M902" s="20"/>
    </row>
    <row r="903">
      <c r="M903" s="20"/>
    </row>
    <row r="904">
      <c r="M904" s="20"/>
    </row>
    <row r="905">
      <c r="M905" s="20"/>
    </row>
    <row r="906">
      <c r="M906" s="20"/>
    </row>
    <row r="907">
      <c r="M907" s="20"/>
    </row>
    <row r="908">
      <c r="M908" s="20"/>
    </row>
    <row r="909">
      <c r="M909" s="20"/>
    </row>
    <row r="910">
      <c r="M910" s="20"/>
    </row>
    <row r="911">
      <c r="M911" s="20"/>
    </row>
    <row r="912">
      <c r="M912" s="20"/>
    </row>
    <row r="913">
      <c r="M913" s="20"/>
    </row>
    <row r="914">
      <c r="M914" s="20"/>
    </row>
    <row r="915">
      <c r="M915" s="20"/>
    </row>
    <row r="916">
      <c r="M916" s="20"/>
    </row>
    <row r="917">
      <c r="M917" s="20"/>
    </row>
    <row r="918">
      <c r="M918" s="20"/>
    </row>
    <row r="919">
      <c r="M919" s="20"/>
    </row>
    <row r="920">
      <c r="M920" s="20"/>
    </row>
    <row r="921">
      <c r="M921" s="20"/>
    </row>
    <row r="922">
      <c r="M922" s="20"/>
    </row>
    <row r="923">
      <c r="M923" s="20"/>
    </row>
    <row r="924">
      <c r="M924" s="20"/>
    </row>
    <row r="925">
      <c r="M925" s="20"/>
    </row>
    <row r="926">
      <c r="M926" s="20"/>
    </row>
    <row r="927">
      <c r="M927" s="20"/>
    </row>
    <row r="928">
      <c r="M928" s="20"/>
    </row>
    <row r="929">
      <c r="M929" s="20"/>
    </row>
    <row r="930">
      <c r="M930" s="20"/>
    </row>
    <row r="931">
      <c r="M931" s="20"/>
    </row>
    <row r="932">
      <c r="M932" s="20"/>
    </row>
    <row r="933">
      <c r="M933" s="20"/>
    </row>
    <row r="934">
      <c r="M934" s="20"/>
    </row>
    <row r="935">
      <c r="M935" s="20"/>
    </row>
    <row r="936">
      <c r="M936" s="20"/>
    </row>
    <row r="937">
      <c r="M937" s="20"/>
    </row>
    <row r="938">
      <c r="M938" s="20"/>
    </row>
    <row r="939">
      <c r="M939" s="20"/>
    </row>
    <row r="940">
      <c r="M940" s="20"/>
    </row>
    <row r="941">
      <c r="M941" s="20"/>
    </row>
    <row r="942">
      <c r="M942" s="20"/>
    </row>
    <row r="943">
      <c r="M943" s="20"/>
    </row>
    <row r="944">
      <c r="M944" s="20"/>
    </row>
    <row r="945">
      <c r="M945" s="20"/>
    </row>
    <row r="946">
      <c r="M946" s="20"/>
    </row>
    <row r="947">
      <c r="M947" s="20"/>
    </row>
    <row r="948">
      <c r="M948" s="20"/>
    </row>
    <row r="949">
      <c r="M949" s="20"/>
    </row>
    <row r="950">
      <c r="M950" s="20"/>
    </row>
    <row r="951">
      <c r="M951" s="20"/>
    </row>
    <row r="952">
      <c r="M952" s="20"/>
    </row>
    <row r="953">
      <c r="M953" s="20"/>
    </row>
    <row r="954">
      <c r="M954" s="20"/>
    </row>
    <row r="955">
      <c r="M955" s="20"/>
    </row>
    <row r="956">
      <c r="M956" s="20"/>
    </row>
    <row r="957">
      <c r="M957" s="20"/>
    </row>
    <row r="958">
      <c r="M958" s="20"/>
    </row>
    <row r="959">
      <c r="M959" s="20"/>
    </row>
    <row r="960">
      <c r="M960" s="20"/>
    </row>
    <row r="961">
      <c r="M961" s="20"/>
    </row>
    <row r="962">
      <c r="M962" s="20"/>
    </row>
    <row r="963">
      <c r="M963" s="20"/>
    </row>
    <row r="964">
      <c r="M964" s="20"/>
    </row>
    <row r="965">
      <c r="M965" s="20"/>
    </row>
    <row r="966">
      <c r="M966" s="20"/>
    </row>
    <row r="967">
      <c r="M967" s="20"/>
    </row>
    <row r="968">
      <c r="M968" s="20"/>
    </row>
    <row r="969">
      <c r="M969" s="20"/>
    </row>
    <row r="970">
      <c r="M970" s="20"/>
    </row>
    <row r="971">
      <c r="M971" s="20"/>
    </row>
    <row r="972">
      <c r="M972" s="20"/>
    </row>
    <row r="973">
      <c r="M973" s="20"/>
    </row>
    <row r="974">
      <c r="M974" s="20"/>
    </row>
    <row r="975">
      <c r="M975" s="20"/>
    </row>
    <row r="976">
      <c r="M976" s="20"/>
    </row>
    <row r="977">
      <c r="M977" s="20"/>
    </row>
    <row r="978">
      <c r="M978" s="20"/>
    </row>
    <row r="979">
      <c r="M979" s="20"/>
    </row>
    <row r="980">
      <c r="M980" s="20"/>
    </row>
    <row r="981">
      <c r="M981" s="20"/>
    </row>
    <row r="982">
      <c r="M982" s="20"/>
    </row>
    <row r="983">
      <c r="M983" s="20"/>
    </row>
    <row r="984">
      <c r="M984" s="20"/>
    </row>
    <row r="985">
      <c r="M985" s="20"/>
    </row>
    <row r="986">
      <c r="M986" s="20"/>
    </row>
    <row r="987">
      <c r="M987" s="20"/>
    </row>
    <row r="988">
      <c r="M988" s="20"/>
    </row>
    <row r="989">
      <c r="M989" s="20"/>
    </row>
    <row r="990">
      <c r="M990" s="20"/>
    </row>
    <row r="991">
      <c r="M991" s="20"/>
    </row>
    <row r="992">
      <c r="M992" s="20"/>
    </row>
    <row r="993">
      <c r="M993" s="20"/>
    </row>
    <row r="994">
      <c r="M994" s="20"/>
    </row>
    <row r="995">
      <c r="M995" s="20"/>
    </row>
    <row r="996">
      <c r="M996" s="20"/>
    </row>
    <row r="997">
      <c r="M997" s="20"/>
    </row>
    <row r="998">
      <c r="M998" s="20"/>
    </row>
    <row r="999">
      <c r="M999" s="20"/>
    </row>
  </sheetData>
  <autoFilter ref="$A$1:$AK$61"/>
  <hyperlinks>
    <hyperlink r:id="rId1" ref="N2"/>
    <hyperlink r:id="rId2" ref="AK2"/>
    <hyperlink r:id="rId3" ref="AK3"/>
    <hyperlink r:id="rId4" ref="AK4"/>
    <hyperlink r:id="rId5" ref="AK5"/>
    <hyperlink r:id="rId6" ref="AK6"/>
    <hyperlink r:id="rId7" ref="AK7"/>
    <hyperlink r:id="rId8" ref="AK8"/>
    <hyperlink r:id="rId9" ref="N9"/>
    <hyperlink r:id="rId10" ref="AK9"/>
    <hyperlink r:id="rId11" ref="AK10"/>
    <hyperlink r:id="rId12" ref="AK11"/>
    <hyperlink r:id="rId13" ref="N12"/>
    <hyperlink r:id="rId14" ref="AK12"/>
    <hyperlink r:id="rId15" ref="N13"/>
    <hyperlink r:id="rId16" ref="AK13"/>
    <hyperlink r:id="rId17" ref="AK14"/>
    <hyperlink r:id="rId18" ref="AK15"/>
    <hyperlink r:id="rId19" ref="AK16"/>
    <hyperlink r:id="rId20" ref="AK17"/>
    <hyperlink r:id="rId21" ref="N18"/>
    <hyperlink r:id="rId22" ref="AK18"/>
    <hyperlink r:id="rId23" ref="N19"/>
    <hyperlink r:id="rId24" ref="AK19"/>
    <hyperlink r:id="rId25" ref="AK20"/>
    <hyperlink r:id="rId26" ref="N21"/>
    <hyperlink r:id="rId27" ref="AK21"/>
    <hyperlink r:id="rId28" ref="AK22"/>
    <hyperlink r:id="rId29" ref="N23"/>
    <hyperlink r:id="rId30" ref="AK23"/>
    <hyperlink r:id="rId31" ref="AK24"/>
    <hyperlink r:id="rId32" ref="AK25"/>
    <hyperlink r:id="rId33" ref="N26"/>
    <hyperlink r:id="rId34" ref="AK26"/>
    <hyperlink r:id="rId35" ref="N27"/>
    <hyperlink r:id="rId36" ref="AK27"/>
    <hyperlink r:id="rId37" ref="AK28"/>
    <hyperlink r:id="rId38" ref="AK29"/>
    <hyperlink r:id="rId39" ref="N30"/>
    <hyperlink r:id="rId40" ref="AK30"/>
    <hyperlink r:id="rId41" ref="AK31"/>
    <hyperlink r:id="rId42" ref="N32"/>
    <hyperlink r:id="rId43" ref="AK32"/>
    <hyperlink r:id="rId44" ref="AK33"/>
    <hyperlink r:id="rId45" ref="AK34"/>
    <hyperlink r:id="rId46" ref="AK35"/>
    <hyperlink r:id="rId47" ref="AK36"/>
    <hyperlink r:id="rId48" ref="AK37"/>
    <hyperlink r:id="rId49" ref="AK38"/>
    <hyperlink r:id="rId50" ref="AK39"/>
    <hyperlink r:id="rId51" ref="AK40"/>
    <hyperlink r:id="rId52" ref="AK41"/>
    <hyperlink r:id="rId53" ref="AK42"/>
    <hyperlink r:id="rId54" ref="AK43"/>
    <hyperlink r:id="rId55" ref="N44"/>
    <hyperlink r:id="rId56" ref="AK44"/>
    <hyperlink r:id="rId57" ref="AK45"/>
    <hyperlink r:id="rId58" ref="N46"/>
    <hyperlink r:id="rId59" ref="AK46"/>
    <hyperlink r:id="rId60" ref="AK47"/>
    <hyperlink r:id="rId61" ref="I48"/>
    <hyperlink r:id="rId62" ref="AK48"/>
    <hyperlink r:id="rId63" ref="I49"/>
    <hyperlink r:id="rId64" ref="AK49"/>
    <hyperlink r:id="rId65" ref="AK50"/>
    <hyperlink r:id="rId66" ref="AK51"/>
    <hyperlink r:id="rId67" ref="AK52"/>
    <hyperlink r:id="rId68" ref="AK53"/>
    <hyperlink r:id="rId69" ref="AK54"/>
    <hyperlink r:id="rId70" ref="AK55"/>
    <hyperlink r:id="rId71" ref="N56"/>
    <hyperlink r:id="rId72" ref="AK56"/>
    <hyperlink r:id="rId73" ref="N57"/>
    <hyperlink r:id="rId74" ref="AK57"/>
    <hyperlink r:id="rId75" ref="N58"/>
    <hyperlink r:id="rId76" ref="AK58"/>
    <hyperlink r:id="rId77" ref="N59"/>
    <hyperlink r:id="rId78" ref="AK59"/>
    <hyperlink r:id="rId79" ref="AK60"/>
    <hyperlink r:id="rId80" ref="N61"/>
    <hyperlink r:id="rId81" ref="AK61"/>
  </hyperlinks>
  <drawing r:id="rId8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0.38"/>
    <col customWidth="1" min="2" max="2" width="11.88"/>
    <col customWidth="1" min="3" max="3" width="22.25"/>
    <col customWidth="1" min="4" max="4" width="52.75"/>
    <col customWidth="1" min="5" max="5" width="20.88"/>
    <col customWidth="1" min="6" max="6" width="22.5"/>
    <col customWidth="1" min="7" max="7" width="89.88"/>
    <col customWidth="1" min="8" max="8" width="16.63"/>
    <col customWidth="1" min="9" max="9" width="39.5"/>
    <col customWidth="1" min="10" max="10" width="46.13"/>
    <col customWidth="1" min="11" max="11" width="11.0"/>
    <col customWidth="1" min="12" max="12" width="16.5"/>
    <col customWidth="1" min="13" max="13" width="187.13"/>
    <col customWidth="1" min="14" max="14" width="11.5"/>
    <col customWidth="1" min="15" max="15" width="61.25"/>
    <col customWidth="1" min="16" max="16" width="20.25"/>
    <col customWidth="1" min="17" max="17" width="52.75"/>
    <col customWidth="1" min="18" max="18" width="8.88"/>
    <col customWidth="1" min="19" max="19" width="12.0"/>
    <col customWidth="1" min="20" max="20" width="6.25"/>
    <col customWidth="1" min="21" max="21" width="18.63"/>
    <col customWidth="1" min="22" max="22" width="13.0"/>
    <col customWidth="1" min="23" max="23" width="9.75"/>
    <col customWidth="1" min="24" max="24" width="41.75"/>
    <col customWidth="1" min="25" max="25" width="40.88"/>
    <col customWidth="1" min="26" max="28" width="7.63"/>
    <col customWidth="1" min="29" max="29" width="73.5"/>
    <col customWidth="1" min="30" max="30" width="12.63"/>
    <col customWidth="1" min="31" max="31" width="12.5"/>
    <col customWidth="1" min="32" max="32" width="45.0"/>
    <col customWidth="1" min="33" max="33" width="11.25"/>
    <col customWidth="1" min="34" max="34" width="16.5"/>
    <col customWidth="1" min="35" max="35" width="13.0"/>
    <col customWidth="1" min="36" max="36" width="12.5"/>
    <col customWidth="1" min="37" max="37" width="10.7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row>
    <row r="2">
      <c r="A2" s="4" t="str">
        <f>IFERROR(__xludf.DUMMYFUNCTION("FILTER('2-Sep - 60'!A2:AK61, (VALUE(REGEXEXTRACT('2-Sep - 60'!H2:H61, ""(\d+) Year"")) + VALUE(REGEXEXTRACT('2-Sep - 60'!H2:H61, ""(\d+) Month""))/12) &gt;= 2.5, (VALUE(REGEXEXTRACT('2-Sep - 60'!H2:H61, ""(\d+) Year"")) + VALUE(REGEXEXTRACT('2-Sep - 60'!H2:H"&amp;"61, ""(\d+) Month""))/12) &lt;= 5, VALUE('2-Sep - 60'!AJ2:AJ61) &lt; 700000)"),"TREND MICRO L2 Engineer")</f>
        <v>TREND MICRO L2 Engineer</v>
      </c>
      <c r="B2" s="6">
        <f>IFERROR(__xludf.DUMMYFUNCTION("""COMPUTED_VALUE"""),46268.0)</f>
        <v>46268</v>
      </c>
      <c r="C2" s="4" t="str">
        <f>IFERROR(__xludf.DUMMYFUNCTION("""COMPUTED_VALUE"""),"Srinidhi Tadiparthi")</f>
        <v>Srinidhi Tadiparthi</v>
      </c>
      <c r="D2" s="4" t="str">
        <f>IFERROR(__xludf.DUMMYFUNCTION("""COMPUTED_VALUE"""),"srinidhi.tadiparthi@gmail.com")</f>
        <v>srinidhi.tadiparthi@gmail.com</v>
      </c>
      <c r="E2" s="4">
        <f>IFERROR(__xludf.DUMMYFUNCTION("""COMPUTED_VALUE"""),9.052052029E9)</f>
        <v>9052052029</v>
      </c>
      <c r="F2" s="4" t="str">
        <f>IFERROR(__xludf.DUMMYFUNCTION("""COMPUTED_VALUE"""),"Hyderabad")</f>
        <v>Hyderabad</v>
      </c>
      <c r="G2" s="4" t="str">
        <f>IFERROR(__xludf.DUMMYFUNCTION("""COMPUTED_VALUE"""),"Hyderabad, Remote")</f>
        <v>Hyderabad, Remote</v>
      </c>
      <c r="H2" s="4" t="str">
        <f>IFERROR(__xludf.DUMMYFUNCTION("""COMPUTED_VALUE"""),"4 Year(s) 2 Month(s)")</f>
        <v>4 Year(s) 2 Month(s)</v>
      </c>
      <c r="I2" s="4" t="str">
        <f>IFERROR(__xludf.DUMMYFUNCTION("""COMPUTED_VALUE"""),"Tata Consultancy Services Ltd.")</f>
        <v>Tata Consultancy Services Ltd.</v>
      </c>
      <c r="J2" s="4" t="str">
        <f>IFERROR(__xludf.DUMMYFUNCTION("""COMPUTED_VALUE"""),"System Security Engineer")</f>
        <v>System Security Engineer</v>
      </c>
      <c r="K2" s="4" t="str">
        <f>IFERROR(__xludf.DUMMYFUNCTION("""COMPUTED_VALUE"""),"Rs 5.23 Lakhs")</f>
        <v>Rs 5.23 Lakhs</v>
      </c>
      <c r="L2" s="4" t="str">
        <f>IFERROR(__xludf.DUMMYFUNCTION("""COMPUTED_VALUE"""),"2 Months")</f>
        <v>2 Months</v>
      </c>
      <c r="M2" s="4" t="str">
        <f>IFERROR(__xludf.DUMMYFUNCTION("""COMPUTED_VALUE"""),"System Security Engineer with B.Sc in Computer Science currently living in Hyderabad")</f>
        <v>System Security Engineer with B.Sc in Computer Science currently living in Hyderabad</v>
      </c>
      <c r="N2" s="7" t="str">
        <f>IFERROR(__xludf.DUMMYFUNCTION("""COMPUTED_VALUE"""),"B.Sc")</f>
        <v>B.Sc</v>
      </c>
      <c r="O2" s="4" t="str">
        <f>IFERROR(__xludf.DUMMYFUNCTION("""COMPUTED_VALUE"""),"Acharya Nagarjuna University College of Science, Guntur")</f>
        <v>Acharya Nagarjuna University College of Science, Guntur</v>
      </c>
      <c r="P2" s="4" t="str">
        <f>IFERROR(__xludf.DUMMYFUNCTION("""COMPUTED_VALUE"""),"NA")</f>
        <v>NA</v>
      </c>
      <c r="Q2" s="4" t="str">
        <f>IFERROR(__xludf.DUMMYFUNCTION("""COMPUTED_VALUE"""),"NA")</f>
        <v>NA</v>
      </c>
      <c r="R2" s="4" t="str">
        <f>IFERROR(__xludf.DUMMYFUNCTION("""COMPUTED_VALUE"""),"NA")</f>
        <v>NA</v>
      </c>
      <c r="S2" s="4" t="str">
        <f>IFERROR(__xludf.DUMMYFUNCTION("""COMPUTED_VALUE"""),"NA")</f>
        <v>NA</v>
      </c>
      <c r="T2" s="4" t="str">
        <f>IFERROR(__xludf.DUMMYFUNCTION("""COMPUTED_VALUE"""),"Female")</f>
        <v>Female</v>
      </c>
      <c r="U2" s="4" t="str">
        <f>IFERROR(__xludf.DUMMYFUNCTION("""COMPUTED_VALUE"""),"NA")</f>
        <v>NA</v>
      </c>
      <c r="V2" s="6">
        <f>IFERROR(__xludf.DUMMYFUNCTION("""COMPUTED_VALUE"""),37055.0)</f>
        <v>37055</v>
      </c>
      <c r="W2" s="4" t="str">
        <f>IFERROR(__xludf.DUMMYFUNCTION("""COMPUTED_VALUE"""),"Rejected")</f>
        <v>Rejected</v>
      </c>
      <c r="X2" s="4" t="str">
        <f>IFERROR(__xludf.DUMMYFUNCTION("""COMPUTED_VALUE"""),"Not Applicable - F")</f>
        <v>Not Applicable - F</v>
      </c>
      <c r="Y2" s="4" t="str">
        <f>IFERROR(__xludf.DUMMYFUNCTION("""COMPUTED_VALUE"""),"NA")</f>
        <v>NA</v>
      </c>
      <c r="Z2" s="4" t="str">
        <f>IFERROR(__xludf.DUMMYFUNCTION("""COMPUTED_VALUE"""),"NA")</f>
        <v>NA</v>
      </c>
      <c r="AA2" s="4" t="str">
        <f>IFERROR(__xludf.DUMMYFUNCTION("""COMPUTED_VALUE"""),"NA")</f>
        <v>NA</v>
      </c>
      <c r="AB2" s="4" t="str">
        <f>IFERROR(__xludf.DUMMYFUNCTION("""COMPUTED_VALUE"""),"NA")</f>
        <v>NA</v>
      </c>
      <c r="AC2" s="4" t="str">
        <f>IFERROR(__xludf.DUMMYFUNCTION("""COMPUTED_VALUE"""),"Trend micro, endpoint security, vulnerability assessment")</f>
        <v>Trend micro, endpoint security, vulnerability assessment</v>
      </c>
      <c r="AD2" s="4">
        <f>IFERROR(__xludf.DUMMYFUNCTION("""COMPUTED_VALUE"""),5.0)</f>
        <v>5</v>
      </c>
      <c r="AE2" s="4">
        <f>IFERROR(__xludf.DUMMYFUNCTION("""COMPUTED_VALUE"""),5.0)</f>
        <v>5</v>
      </c>
      <c r="AF2" s="4" t="str">
        <f>IFERROR(__xludf.DUMMYFUNCTION("""COMPUTED_VALUE"""),"I have experience in Trend micro deep security and vision one")</f>
        <v>I have experience in Trend micro deep security and vision one</v>
      </c>
      <c r="AG2" s="4">
        <f>IFERROR(__xludf.DUMMYFUNCTION("""COMPUTED_VALUE"""),800000.0)</f>
        <v>800000</v>
      </c>
      <c r="AH2" s="4" t="str">
        <f>IFERROR(__xludf.DUMMYFUNCTION("""COMPUTED_VALUE"""),"2 Months")</f>
        <v>2 Months</v>
      </c>
      <c r="AI2" s="4" t="str">
        <f>IFERROR(__xludf.DUMMYFUNCTION("""COMPUTED_VALUE"""),"Yes")</f>
        <v>Yes</v>
      </c>
      <c r="AJ2" s="4">
        <f>IFERROR(__xludf.DUMMYFUNCTION("""COMPUTED_VALUE"""),523000.0)</f>
        <v>523000</v>
      </c>
      <c r="AK2" s="7" t="str">
        <f>IFERROR(__xludf.DUMMYFUNCTION("""COMPUTED_VALUE"""),"View profile")</f>
        <v>View profile</v>
      </c>
    </row>
    <row r="3">
      <c r="A3" s="4" t="str">
        <f>IFERROR(__xludf.DUMMYFUNCTION("""COMPUTED_VALUE"""),"TREND MICRO L2 Engineer")</f>
        <v>TREND MICRO L2 Engineer</v>
      </c>
      <c r="B3" s="6">
        <f>IFERROR(__xludf.DUMMYFUNCTION("""COMPUTED_VALUE"""),46268.0)</f>
        <v>46268</v>
      </c>
      <c r="C3" s="4" t="str">
        <f>IFERROR(__xludf.DUMMYFUNCTION("""COMPUTED_VALUE"""),"Rathod Vamshi")</f>
        <v>Rathod Vamshi</v>
      </c>
      <c r="D3" s="4" t="str">
        <f>IFERROR(__xludf.DUMMYFUNCTION("""COMPUTED_VALUE"""),"rathodvamshi28@gmail.com")</f>
        <v>rathodvamshi28@gmail.com</v>
      </c>
      <c r="E3" s="4">
        <f>IFERROR(__xludf.DUMMYFUNCTION("""COMPUTED_VALUE"""),9.55383258E9)</f>
        <v>9553832580</v>
      </c>
      <c r="F3" s="4" t="str">
        <f>IFERROR(__xludf.DUMMYFUNCTION("""COMPUTED_VALUE"""),"Hyderabad")</f>
        <v>Hyderabad</v>
      </c>
      <c r="G3" s="4" t="str">
        <f>IFERROR(__xludf.DUMMYFUNCTION("""COMPUTED_VALUE"""),"Kolkata, Mumbai, Gurugram, Delhi / NCR, Coimbatore, Navi Mumbai, Pune, Chennai, Hyderabad, Bengaluru")</f>
        <v>Kolkata, Mumbai, Gurugram, Delhi / NCR, Coimbatore, Navi Mumbai, Pune, Chennai, Hyderabad, Bengaluru</v>
      </c>
      <c r="H3" s="4" t="str">
        <f>IFERROR(__xludf.DUMMYFUNCTION("""COMPUTED_VALUE"""),"3 Year(s) 6 Month(s)")</f>
        <v>3 Year(s) 6 Month(s)</v>
      </c>
      <c r="I3" s="4" t="str">
        <f>IFERROR(__xludf.DUMMYFUNCTION("""COMPUTED_VALUE"""),"cognizant technology solutions")</f>
        <v>cognizant technology solutions</v>
      </c>
      <c r="J3" s="4" t="str">
        <f>IFERROR(__xludf.DUMMYFUNCTION("""COMPUTED_VALUE"""),"Associate")</f>
        <v>Associate</v>
      </c>
      <c r="K3" s="4" t="str">
        <f>IFERROR(__xludf.DUMMYFUNCTION("""COMPUTED_VALUE"""),"Rs 6.90 Lakhs")</f>
        <v>Rs 6.90 Lakhs</v>
      </c>
      <c r="L3" s="4" t="str">
        <f>IFERROR(__xludf.DUMMYFUNCTION("""COMPUTED_VALUE"""),"15 Days or less")</f>
        <v>15 Days or less</v>
      </c>
      <c r="M3" s="4" t="str">
        <f>IFERROR(__xludf.DUMMYFUNCTION("""COMPUTED_VALUE"""),"3. 8 years of Remarkable Production Support experience in JAVA, J2EE, Spring applications.")</f>
        <v>3. 8 years of Remarkable Production Support experience in JAVA, J2EE, Spring applications.</v>
      </c>
      <c r="N3" s="4" t="str">
        <f>IFERROR(__xludf.DUMMYFUNCTION("""COMPUTED_VALUE"""),"B.Tech / B.E.")</f>
        <v>B.Tech / B.E.</v>
      </c>
      <c r="O3" s="4" t="str">
        <f>IFERROR(__xludf.DUMMYFUNCTION("""COMPUTED_VALUE"""),"Malla Reddy Engineering College, Ranga Reddy")</f>
        <v>Malla Reddy Engineering College, Ranga Reddy</v>
      </c>
      <c r="P3" s="4" t="str">
        <f>IFERROR(__xludf.DUMMYFUNCTION("""COMPUTED_VALUE"""),"NA")</f>
        <v>NA</v>
      </c>
      <c r="Q3" s="4" t="str">
        <f>IFERROR(__xludf.DUMMYFUNCTION("""COMPUTED_VALUE"""),"NA")</f>
        <v>NA</v>
      </c>
      <c r="R3" s="4" t="str">
        <f>IFERROR(__xludf.DUMMYFUNCTION("""COMPUTED_VALUE"""),"NA")</f>
        <v>NA</v>
      </c>
      <c r="S3" s="4" t="str">
        <f>IFERROR(__xludf.DUMMYFUNCTION("""COMPUTED_VALUE"""),"NA")</f>
        <v>NA</v>
      </c>
      <c r="T3" s="4" t="str">
        <f>IFERROR(__xludf.DUMMYFUNCTION("""COMPUTED_VALUE"""),"Male")</f>
        <v>Male</v>
      </c>
      <c r="U3" s="4" t="str">
        <f>IFERROR(__xludf.DUMMYFUNCTION("""COMPUTED_VALUE"""),"Nirmal , Telangana")</f>
        <v>Nirmal , Telangana</v>
      </c>
      <c r="V3" s="12">
        <f>IFERROR(__xludf.DUMMYFUNCTION("""COMPUTED_VALUE"""),36705.0)</f>
        <v>36705</v>
      </c>
      <c r="W3" s="4" t="str">
        <f>IFERROR(__xludf.DUMMYFUNCTION("""COMPUTED_VALUE"""),"NA")</f>
        <v>NA</v>
      </c>
      <c r="X3" s="4" t="str">
        <f>IFERROR(__xludf.DUMMYFUNCTION("""COMPUTED_VALUE"""),"NA")</f>
        <v>NA</v>
      </c>
      <c r="Y3" s="4" t="str">
        <f>IFERROR(__xludf.DUMMYFUNCTION("""COMPUTED_VALUE"""),"NA")</f>
        <v>NA</v>
      </c>
      <c r="Z3" s="4" t="str">
        <f>IFERROR(__xludf.DUMMYFUNCTION("""COMPUTED_VALUE"""),"NA")</f>
        <v>NA</v>
      </c>
      <c r="AA3" s="4" t="str">
        <f>IFERROR(__xludf.DUMMYFUNCTION("""COMPUTED_VALUE"""),"NA")</f>
        <v>NA</v>
      </c>
      <c r="AB3" s="4" t="str">
        <f>IFERROR(__xludf.DUMMYFUNCTION("""COMPUTED_VALUE"""),"NA")</f>
        <v>NA</v>
      </c>
      <c r="AC3" s="4" t="str">
        <f>IFERROR(__xludf.DUMMYFUNCTION("""COMPUTED_VALUE"""),"Websphere,apche tomcat ,weblogic,jboss ,ibm http server")</f>
        <v>Websphere,apche tomcat ,weblogic,jboss ,ibm http server</v>
      </c>
      <c r="AD3" s="4">
        <f>IFERROR(__xludf.DUMMYFUNCTION("""COMPUTED_VALUE"""),3.6)</f>
        <v>3.6</v>
      </c>
      <c r="AE3" s="4">
        <f>IFERROR(__xludf.DUMMYFUNCTION("""COMPUTED_VALUE"""),3.6)</f>
        <v>3.6</v>
      </c>
      <c r="AF3" s="4">
        <f>IFERROR(__xludf.DUMMYFUNCTION("""COMPUTED_VALUE"""),3.6)</f>
        <v>3.6</v>
      </c>
      <c r="AG3" s="4">
        <f>IFERROR(__xludf.DUMMYFUNCTION("""COMPUTED_VALUE"""),690000.0)</f>
        <v>690000</v>
      </c>
      <c r="AH3" s="4" t="str">
        <f>IFERROR(__xludf.DUMMYFUNCTION("""COMPUTED_VALUE"""),"15 Days or less")</f>
        <v>15 Days or less</v>
      </c>
      <c r="AI3" s="4" t="str">
        <f>IFERROR(__xludf.DUMMYFUNCTION("""COMPUTED_VALUE"""),"Yes")</f>
        <v>Yes</v>
      </c>
      <c r="AJ3" s="4">
        <f>IFERROR(__xludf.DUMMYFUNCTION("""COMPUTED_VALUE"""),690000.0)</f>
        <v>690000</v>
      </c>
      <c r="AK3" s="7" t="str">
        <f>IFERROR(__xludf.DUMMYFUNCTION("""COMPUTED_VALUE"""),"View profile")</f>
        <v>View profile</v>
      </c>
    </row>
    <row r="4">
      <c r="A4" s="4" t="str">
        <f>IFERROR(__xludf.DUMMYFUNCTION("""COMPUTED_VALUE"""),"TREND MICRO L2 Engineer")</f>
        <v>TREND MICRO L2 Engineer</v>
      </c>
      <c r="B4" s="6">
        <f>IFERROR(__xludf.DUMMYFUNCTION("""COMPUTED_VALUE"""),46268.0)</f>
        <v>46268</v>
      </c>
      <c r="C4" s="4" t="str">
        <f>IFERROR(__xludf.DUMMYFUNCTION("""COMPUTED_VALUE"""),"Sumed Balaji Jadhav")</f>
        <v>Sumed Balaji Jadhav</v>
      </c>
      <c r="D4" s="4" t="str">
        <f>IFERROR(__xludf.DUMMYFUNCTION("""COMPUTED_VALUE"""),"sumedjadhav40@gmail.com")</f>
        <v>sumedjadhav40@gmail.com</v>
      </c>
      <c r="E4" s="4">
        <f>IFERROR(__xludf.DUMMYFUNCTION("""COMPUTED_VALUE"""),7.744883512E9)</f>
        <v>7744883512</v>
      </c>
      <c r="F4" s="4" t="str">
        <f>IFERROR(__xludf.DUMMYFUNCTION("""COMPUTED_VALUE"""),"Pune")</f>
        <v>Pune</v>
      </c>
      <c r="G4" s="4" t="str">
        <f>IFERROR(__xludf.DUMMYFUNCTION("""COMPUTED_VALUE"""),"Chennai, Hyderabad, Mumbai, Pune, Remote")</f>
        <v>Chennai, Hyderabad, Mumbai, Pune, Remote</v>
      </c>
      <c r="H4" s="4" t="str">
        <f>IFERROR(__xludf.DUMMYFUNCTION("""COMPUTED_VALUE"""),"3 Year(s) 8 Month(s)")</f>
        <v>3 Year(s) 8 Month(s)</v>
      </c>
      <c r="I4" s="4" t="str">
        <f>IFERROR(__xludf.DUMMYFUNCTION("""COMPUTED_VALUE"""),"Infosys")</f>
        <v>Infosys</v>
      </c>
      <c r="J4" s="4" t="str">
        <f>IFERROR(__xludf.DUMMYFUNCTION("""COMPUTED_VALUE"""),"Cyber Security and SOC Analyst")</f>
        <v>Cyber Security and SOC Analyst</v>
      </c>
      <c r="K4" s="4" t="str">
        <f>IFERROR(__xludf.DUMMYFUNCTION("""COMPUTED_VALUE"""),"Rs 4.22 Lakhs")</f>
        <v>Rs 4.22 Lakhs</v>
      </c>
      <c r="L4" s="4" t="str">
        <f>IFERROR(__xludf.DUMMYFUNCTION("""COMPUTED_VALUE"""),"1 Months")</f>
        <v>1 Months</v>
      </c>
      <c r="M4" s="4" t="str">
        <f>IFERROR(__xludf.DUMMYFUNCTION("""COMPUTED_VALUE"""),"SOC Analyst 3+ Years of hands on experience in SIEM (Splunk,IBM Qradar) EDR (CrowdStrike, SentinelOne), Proofpoint, DLP, MITRE ATT&amp;CK &amp; Insider Threat Specialist, ServiceNow, Rapid7, Dtex, Use cases, Soar automation.")</f>
        <v>SOC Analyst 3+ Years of hands on experience in SIEM (Splunk,IBM Qradar) EDR (CrowdStrike, SentinelOne), Proofpoint, DLP, MITRE ATT&amp;CK &amp; Insider Threat Specialist, ServiceNow, Rapid7, Dtex, Use cases, Soar automation.</v>
      </c>
      <c r="N4" s="4" t="str">
        <f>IFERROR(__xludf.DUMMYFUNCTION("""COMPUTED_VALUE"""),"B.Tech / B.E.")</f>
        <v>B.Tech / B.E.</v>
      </c>
      <c r="O4" s="4" t="str">
        <f>IFERROR(__xludf.DUMMYFUNCTION("""COMPUTED_VALUE"""),"STES Smt Kashibai Navale College of Engineering, Pune")</f>
        <v>STES Smt Kashibai Navale College of Engineering, Pune</v>
      </c>
      <c r="P4" s="4" t="str">
        <f>IFERROR(__xludf.DUMMYFUNCTION("""COMPUTED_VALUE"""),"NA")</f>
        <v>NA</v>
      </c>
      <c r="Q4" s="4" t="str">
        <f>IFERROR(__xludf.DUMMYFUNCTION("""COMPUTED_VALUE"""),"NA")</f>
        <v>NA</v>
      </c>
      <c r="R4" s="4" t="str">
        <f>IFERROR(__xludf.DUMMYFUNCTION("""COMPUTED_VALUE"""),"NA")</f>
        <v>NA</v>
      </c>
      <c r="S4" s="4" t="str">
        <f>IFERROR(__xludf.DUMMYFUNCTION("""COMPUTED_VALUE"""),"NA")</f>
        <v>NA</v>
      </c>
      <c r="T4" s="4" t="str">
        <f>IFERROR(__xludf.DUMMYFUNCTION("""COMPUTED_VALUE"""),"Male")</f>
        <v>Male</v>
      </c>
      <c r="U4" s="4" t="str">
        <f>IFERROR(__xludf.DUMMYFUNCTION("""COMPUTED_VALUE"""),"Latur")</f>
        <v>Latur</v>
      </c>
      <c r="V4" s="12">
        <f>IFERROR(__xludf.DUMMYFUNCTION("""COMPUTED_VALUE"""),36685.0)</f>
        <v>36685</v>
      </c>
      <c r="W4" s="4" t="str">
        <f>IFERROR(__xludf.DUMMYFUNCTION("""COMPUTED_VALUE"""),"NA")</f>
        <v>NA</v>
      </c>
      <c r="X4" s="4" t="str">
        <f>IFERROR(__xludf.DUMMYFUNCTION("""COMPUTED_VALUE"""),"NA")</f>
        <v>NA</v>
      </c>
      <c r="Y4" s="4" t="str">
        <f>IFERROR(__xludf.DUMMYFUNCTION("""COMPUTED_VALUE"""),"NA")</f>
        <v>NA</v>
      </c>
      <c r="Z4" s="4" t="str">
        <f>IFERROR(__xludf.DUMMYFUNCTION("""COMPUTED_VALUE"""),"NA")</f>
        <v>NA</v>
      </c>
      <c r="AA4" s="4" t="str">
        <f>IFERROR(__xludf.DUMMYFUNCTION("""COMPUTED_VALUE"""),"NA")</f>
        <v>NA</v>
      </c>
      <c r="AB4" s="4" t="str">
        <f>IFERROR(__xludf.DUMMYFUNCTION("""COMPUTED_VALUE"""),"NA")</f>
        <v>NA</v>
      </c>
      <c r="AC4" s="4" t="str">
        <f>IFERROR(__xludf.DUMMYFUNCTION("""COMPUTED_VALUE"""),"H")</f>
        <v>H</v>
      </c>
      <c r="AD4" s="4">
        <f>IFERROR(__xludf.DUMMYFUNCTION("""COMPUTED_VALUE"""),3.5)</f>
        <v>3.5</v>
      </c>
      <c r="AE4" s="4">
        <f>IFERROR(__xludf.DUMMYFUNCTION("""COMPUTED_VALUE"""),3.0)</f>
        <v>3</v>
      </c>
      <c r="AF4" s="4">
        <f>IFERROR(__xludf.DUMMYFUNCTION("""COMPUTED_VALUE"""),3.5)</f>
        <v>3.5</v>
      </c>
      <c r="AG4" s="4">
        <f>IFERROR(__xludf.DUMMYFUNCTION("""COMPUTED_VALUE"""),0.0)</f>
        <v>0</v>
      </c>
      <c r="AH4" s="4" t="str">
        <f>IFERROR(__xludf.DUMMYFUNCTION("""COMPUTED_VALUE"""),"1 Month")</f>
        <v>1 Month</v>
      </c>
      <c r="AI4" s="4" t="str">
        <f>IFERROR(__xludf.DUMMYFUNCTION("""COMPUTED_VALUE"""),"Yes")</f>
        <v>Yes</v>
      </c>
      <c r="AJ4" s="4">
        <f>IFERROR(__xludf.DUMMYFUNCTION("""COMPUTED_VALUE"""),422000.0)</f>
        <v>422000</v>
      </c>
      <c r="AK4" s="7" t="str">
        <f>IFERROR(__xludf.DUMMYFUNCTION("""COMPUTED_VALUE"""),"View profile")</f>
        <v>View profile</v>
      </c>
    </row>
    <row r="5">
      <c r="A5" s="4" t="str">
        <f>IFERROR(__xludf.DUMMYFUNCTION("""COMPUTED_VALUE"""),"TREND MICRO L2 Engineer")</f>
        <v>TREND MICRO L2 Engineer</v>
      </c>
      <c r="B5" s="6">
        <f>IFERROR(__xludf.DUMMYFUNCTION("""COMPUTED_VALUE"""),46268.0)</f>
        <v>46268</v>
      </c>
      <c r="C5" s="4" t="str">
        <f>IFERROR(__xludf.DUMMYFUNCTION("""COMPUTED_VALUE"""),"Utkarsha Maruti Khot")</f>
        <v>Utkarsha Maruti Khot</v>
      </c>
      <c r="D5" s="4" t="str">
        <f>IFERROR(__xludf.DUMMYFUNCTION("""COMPUTED_VALUE"""),"utkarshakhot2027@gmail.com")</f>
        <v>utkarshakhot2027@gmail.com</v>
      </c>
      <c r="E5" s="4">
        <f>IFERROR(__xludf.DUMMYFUNCTION("""COMPUTED_VALUE"""),9.356433292E9)</f>
        <v>9356433292</v>
      </c>
      <c r="F5" s="4" t="str">
        <f>IFERROR(__xludf.DUMMYFUNCTION("""COMPUTED_VALUE"""),"Thane, Mumbai - Maharashtra")</f>
        <v>Thane, Mumbai - Maharashtra</v>
      </c>
      <c r="G5" s="4" t="str">
        <f>IFERROR(__xludf.DUMMYFUNCTION("""COMPUTED_VALUE"""),"Pune, Mumbai, Navi Mumbai, Thane, Bengaluru, Hyderabad, Ahmedabad, Gurugram, Remote")</f>
        <v>Pune, Mumbai, Navi Mumbai, Thane, Bengaluru, Hyderabad, Ahmedabad, Gurugram, Remote</v>
      </c>
      <c r="H5" s="4" t="str">
        <f>IFERROR(__xludf.DUMMYFUNCTION("""COMPUTED_VALUE"""),"3 Year(s) 5 Month(s)")</f>
        <v>3 Year(s) 5 Month(s)</v>
      </c>
      <c r="I5" s="4" t="str">
        <f>IFERROR(__xludf.DUMMYFUNCTION("""COMPUTED_VALUE"""),"Accenture")</f>
        <v>Accenture</v>
      </c>
      <c r="J5" s="4" t="str">
        <f>IFERROR(__xludf.DUMMYFUNCTION("""COMPUTED_VALUE"""),"Information Security Analyst")</f>
        <v>Information Security Analyst</v>
      </c>
      <c r="K5" s="4" t="str">
        <f>IFERROR(__xludf.DUMMYFUNCTION("""COMPUTED_VALUE"""),"Rs 5.60 Lakhs")</f>
        <v>Rs 5.60 Lakhs</v>
      </c>
      <c r="L5" s="4" t="str">
        <f>IFERROR(__xludf.DUMMYFUNCTION("""COMPUTED_VALUE"""),"Serving Notice Period")</f>
        <v>Serving Notice Period</v>
      </c>
      <c r="M5" s="4" t="str">
        <f>IFERROR(__xludf.DUMMYFUNCTION("""COMPUTED_VALUE"""),"Information Security Analyst | 24x7 Security Monitoring | SIEM, EDR, UEBA, SOAR | Splunk |Microsoft Sentinel |CrowdStrike | Microsoft Defender for Endpoint | Incident Response |Threat Detection |3.2 Years Experience | immediate joiner")</f>
        <v>Information Security Analyst | 24x7 Security Monitoring | SIEM, EDR, UEBA, SOAR | Splunk |Microsoft Sentinel |CrowdStrike | Microsoft Defender for Endpoint | Incident Response |Threat Detection |3.2 Years Experience | immediate joiner</v>
      </c>
      <c r="N5" s="4" t="str">
        <f>IFERROR(__xludf.DUMMYFUNCTION("""COMPUTED_VALUE"""),"B.Tech / B.E.")</f>
        <v>B.Tech / B.E.</v>
      </c>
      <c r="O5" s="4" t="str">
        <f>IFERROR(__xludf.DUMMYFUNCTION("""COMPUTED_VALUE"""),"Sanjay Ghodawat University, Kolhapur")</f>
        <v>Sanjay Ghodawat University, Kolhapur</v>
      </c>
      <c r="P5" s="4" t="str">
        <f>IFERROR(__xludf.DUMMYFUNCTION("""COMPUTED_VALUE"""),"NA")</f>
        <v>NA</v>
      </c>
      <c r="Q5" s="4" t="str">
        <f>IFERROR(__xludf.DUMMYFUNCTION("""COMPUTED_VALUE"""),"NA")</f>
        <v>NA</v>
      </c>
      <c r="R5" s="4" t="str">
        <f>IFERROR(__xludf.DUMMYFUNCTION("""COMPUTED_VALUE"""),"NA")</f>
        <v>NA</v>
      </c>
      <c r="S5" s="4" t="str">
        <f>IFERROR(__xludf.DUMMYFUNCTION("""COMPUTED_VALUE"""),"NA")</f>
        <v>NA</v>
      </c>
      <c r="T5" s="4" t="str">
        <f>IFERROR(__xludf.DUMMYFUNCTION("""COMPUTED_VALUE"""),"Female")</f>
        <v>Female</v>
      </c>
      <c r="U5" s="4" t="str">
        <f>IFERROR(__xludf.DUMMYFUNCTION("""COMPUTED_VALUE"""),"NA")</f>
        <v>NA</v>
      </c>
      <c r="V5" s="12">
        <f>IFERROR(__xludf.DUMMYFUNCTION("""COMPUTED_VALUE"""),37519.0)</f>
        <v>37519</v>
      </c>
      <c r="W5" s="4" t="str">
        <f>IFERROR(__xludf.DUMMYFUNCTION("""COMPUTED_VALUE"""),"Rejected")</f>
        <v>Rejected</v>
      </c>
      <c r="X5" s="4" t="str">
        <f>IFERROR(__xludf.DUMMYFUNCTION("""COMPUTED_VALUE"""),"Not Applicable - F")</f>
        <v>Not Applicable - F</v>
      </c>
      <c r="Y5" s="4" t="str">
        <f>IFERROR(__xludf.DUMMYFUNCTION("""COMPUTED_VALUE"""),"NA")</f>
        <v>NA</v>
      </c>
      <c r="Z5" s="4" t="str">
        <f>IFERROR(__xludf.DUMMYFUNCTION("""COMPUTED_VALUE"""),"NA")</f>
        <v>NA</v>
      </c>
      <c r="AA5" s="4" t="str">
        <f>IFERROR(__xludf.DUMMYFUNCTION("""COMPUTED_VALUE"""),"NA")</f>
        <v>NA</v>
      </c>
      <c r="AB5" s="4" t="str">
        <f>IFERROR(__xludf.DUMMYFUNCTION("""COMPUTED_VALUE"""),"NA")</f>
        <v>NA</v>
      </c>
      <c r="AC5" s="4" t="str">
        <f>IFERROR(__xludf.DUMMYFUNCTION("""COMPUTED_VALUE"""),"SOC, SIEM, Splunk, Microsoft Sentinel, CrowdStrike, Microsoft Defender, MITRE ATT&amp;CK, Qualys, Serv")</f>
        <v>SOC, SIEM, Splunk, Microsoft Sentinel, CrowdStrike, Microsoft Defender, MITRE ATT&amp;CK, Qualys, Serv</v>
      </c>
      <c r="AD5" s="4">
        <f>IFERROR(__xludf.DUMMYFUNCTION("""COMPUTED_VALUE"""),3.5)</f>
        <v>3.5</v>
      </c>
      <c r="AE5" s="4">
        <f>IFERROR(__xludf.DUMMYFUNCTION("""COMPUTED_VALUE"""),3.5)</f>
        <v>3.5</v>
      </c>
      <c r="AF5" s="4">
        <f>IFERROR(__xludf.DUMMYFUNCTION("""COMPUTED_VALUE"""),3.5)</f>
        <v>3.5</v>
      </c>
      <c r="AG5" s="4">
        <f>IFERROR(__xludf.DUMMYFUNCTION("""COMPUTED_VALUE"""),0.0)</f>
        <v>0</v>
      </c>
      <c r="AH5" s="4" t="str">
        <f>IFERROR(__xludf.DUMMYFUNCTION("""COMPUTED_VALUE"""),"Serving Notice Period")</f>
        <v>Serving Notice Period</v>
      </c>
      <c r="AI5" s="4" t="str">
        <f>IFERROR(__xludf.DUMMYFUNCTION("""COMPUTED_VALUE"""),"Yes")</f>
        <v>Yes</v>
      </c>
      <c r="AJ5" s="4">
        <f>IFERROR(__xludf.DUMMYFUNCTION("""COMPUTED_VALUE"""),560000.0)</f>
        <v>560000</v>
      </c>
      <c r="AK5" s="7" t="str">
        <f>IFERROR(__xludf.DUMMYFUNCTION("""COMPUTED_VALUE"""),"View profile")</f>
        <v>View profile</v>
      </c>
    </row>
    <row r="6">
      <c r="A6" s="4" t="str">
        <f>IFERROR(__xludf.DUMMYFUNCTION("""COMPUTED_VALUE"""),"TREND MICRO L2 Engineer")</f>
        <v>TREND MICRO L2 Engineer</v>
      </c>
      <c r="B6" s="6">
        <f>IFERROR(__xludf.DUMMYFUNCTION("""COMPUTED_VALUE"""),46268.0)</f>
        <v>46268</v>
      </c>
      <c r="C6" s="4" t="str">
        <f>IFERROR(__xludf.DUMMYFUNCTION("""COMPUTED_VALUE"""),"Ashwin Shivprasad Mhamane")</f>
        <v>Ashwin Shivprasad Mhamane</v>
      </c>
      <c r="D6" s="4" t="str">
        <f>IFERROR(__xludf.DUMMYFUNCTION("""COMPUTED_VALUE"""),"mhamaneashwin23@gmail.com")</f>
        <v>mhamaneashwin23@gmail.com</v>
      </c>
      <c r="E6" s="4">
        <f>IFERROR(__xludf.DUMMYFUNCTION("""COMPUTED_VALUE"""),9.767259381E9)</f>
        <v>9767259381</v>
      </c>
      <c r="F6" s="4" t="str">
        <f>IFERROR(__xludf.DUMMYFUNCTION("""COMPUTED_VALUE"""),"Bengaluru")</f>
        <v>Bengaluru</v>
      </c>
      <c r="G6" s="4" t="str">
        <f>IFERROR(__xludf.DUMMYFUNCTION("""COMPUTED_VALUE"""),"Pune, Mumbai, Remote")</f>
        <v>Pune, Mumbai, Remote</v>
      </c>
      <c r="H6" s="4" t="str">
        <f>IFERROR(__xludf.DUMMYFUNCTION("""COMPUTED_VALUE"""),"3 Year(s) 0 Month(s)")</f>
        <v>3 Year(s) 0 Month(s)</v>
      </c>
      <c r="I6" s="4" t="str">
        <f>IFERROR(__xludf.DUMMYFUNCTION("""COMPUTED_VALUE"""),"STL Digital")</f>
        <v>STL Digital</v>
      </c>
      <c r="J6" s="4" t="str">
        <f>IFERROR(__xludf.DUMMYFUNCTION("""COMPUTED_VALUE"""),"SOC Engineer")</f>
        <v>SOC Engineer</v>
      </c>
      <c r="K6" s="4" t="str">
        <f>IFERROR(__xludf.DUMMYFUNCTION("""COMPUTED_VALUE"""),"Rs 5 Lakhs")</f>
        <v>Rs 5 Lakhs</v>
      </c>
      <c r="L6" s="4" t="str">
        <f>IFERROR(__xludf.DUMMYFUNCTION("""COMPUTED_VALUE"""),"15 Days or less")</f>
        <v>15 Days or less</v>
      </c>
      <c r="M6" s="4" t="str">
        <f>IFERROR(__xludf.DUMMYFUNCTION("""COMPUTED_VALUE"""),"SOC Analyst with nearly 3 years of experience in Cybersecurity, specializing in SIEM, SOAR, Incident Response, Threat Hunting, and Security Monitoring. Experienced with Microsoft Sentinel, Trellix Helix, Microsoft Defender, CrowdStrike, and Netskope.")</f>
        <v>SOC Analyst with nearly 3 years of experience in Cybersecurity, specializing in SIEM, SOAR, Incident Response, Threat Hunting, and Security Monitoring. Experienced with Microsoft Sentinel, Trellix Helix, Microsoft Defender, CrowdStrike, and Netskope.</v>
      </c>
      <c r="N6" s="4" t="str">
        <f>IFERROR(__xludf.DUMMYFUNCTION("""COMPUTED_VALUE"""),"B.Tech / B.E.")</f>
        <v>B.Tech / B.E.</v>
      </c>
      <c r="O6" s="4" t="str">
        <f>IFERROR(__xludf.DUMMYFUNCTION("""COMPUTED_VALUE"""),"Pune University")</f>
        <v>Pune University</v>
      </c>
      <c r="P6" s="4" t="str">
        <f>IFERROR(__xludf.DUMMYFUNCTION("""COMPUTED_VALUE"""),"NA")</f>
        <v>NA</v>
      </c>
      <c r="Q6" s="4" t="str">
        <f>IFERROR(__xludf.DUMMYFUNCTION("""COMPUTED_VALUE"""),"NA")</f>
        <v>NA</v>
      </c>
      <c r="R6" s="4" t="str">
        <f>IFERROR(__xludf.DUMMYFUNCTION("""COMPUTED_VALUE"""),"NA")</f>
        <v>NA</v>
      </c>
      <c r="S6" s="4" t="str">
        <f>IFERROR(__xludf.DUMMYFUNCTION("""COMPUTED_VALUE"""),"NA")</f>
        <v>NA</v>
      </c>
      <c r="T6" s="4" t="str">
        <f>IFERROR(__xludf.DUMMYFUNCTION("""COMPUTED_VALUE"""),"Male")</f>
        <v>Male</v>
      </c>
      <c r="U6" s="4" t="str">
        <f>IFERROR(__xludf.DUMMYFUNCTION("""COMPUTED_VALUE"""),"Pune")</f>
        <v>Pune</v>
      </c>
      <c r="V6" s="16">
        <f>IFERROR(__xludf.DUMMYFUNCTION("""COMPUTED_VALUE"""),36445.0)</f>
        <v>36445</v>
      </c>
      <c r="W6" s="4" t="str">
        <f>IFERROR(__xludf.DUMMYFUNCTION("""COMPUTED_VALUE"""),"NA")</f>
        <v>NA</v>
      </c>
      <c r="X6" s="4" t="str">
        <f>IFERROR(__xludf.DUMMYFUNCTION("""COMPUTED_VALUE"""),"NA")</f>
        <v>NA</v>
      </c>
      <c r="Y6" s="4" t="str">
        <f>IFERROR(__xludf.DUMMYFUNCTION("""COMPUTED_VALUE"""),"NA")</f>
        <v>NA</v>
      </c>
      <c r="Z6" s="4" t="str">
        <f>IFERROR(__xludf.DUMMYFUNCTION("""COMPUTED_VALUE"""),"NA")</f>
        <v>NA</v>
      </c>
      <c r="AA6" s="4" t="str">
        <f>IFERROR(__xludf.DUMMYFUNCTION("""COMPUTED_VALUE"""),"NA")</f>
        <v>NA</v>
      </c>
      <c r="AB6" s="4" t="str">
        <f>IFERROR(__xludf.DUMMYFUNCTION("""COMPUTED_VALUE"""),"NA")</f>
        <v>NA</v>
      </c>
      <c r="AC6" s="4" t="str">
        <f>IFERROR(__xludf.DUMMYFUNCTION("""COMPUTED_VALUE"""),"Siem soar edr xdr")</f>
        <v>Siem soar edr xdr</v>
      </c>
      <c r="AD6" s="4">
        <f>IFERROR(__xludf.DUMMYFUNCTION("""COMPUTED_VALUE"""),3.0)</f>
        <v>3</v>
      </c>
      <c r="AE6" s="4">
        <f>IFERROR(__xludf.DUMMYFUNCTION("""COMPUTED_VALUE"""),3.0)</f>
        <v>3</v>
      </c>
      <c r="AF6" s="4">
        <f>IFERROR(__xludf.DUMMYFUNCTION("""COMPUTED_VALUE"""),3.0)</f>
        <v>3</v>
      </c>
      <c r="AG6" s="4">
        <f>IFERROR(__xludf.DUMMYFUNCTION("""COMPUTED_VALUE"""),0.0)</f>
        <v>0</v>
      </c>
      <c r="AH6" s="4" t="str">
        <f>IFERROR(__xludf.DUMMYFUNCTION("""COMPUTED_VALUE"""),"15 Days or less")</f>
        <v>15 Days or less</v>
      </c>
      <c r="AI6" s="4" t="str">
        <f>IFERROR(__xludf.DUMMYFUNCTION("""COMPUTED_VALUE"""),"Yes")</f>
        <v>Yes</v>
      </c>
      <c r="AJ6" s="4">
        <f>IFERROR(__xludf.DUMMYFUNCTION("""COMPUTED_VALUE"""),500000.0)</f>
        <v>500000</v>
      </c>
      <c r="AK6" s="7" t="str">
        <f>IFERROR(__xludf.DUMMYFUNCTION("""COMPUTED_VALUE"""),"View profile")</f>
        <v>View profile</v>
      </c>
    </row>
    <row r="7">
      <c r="A7" s="4" t="str">
        <f>IFERROR(__xludf.DUMMYFUNCTION("""COMPUTED_VALUE"""),"TREND MICRO L2 Engineer")</f>
        <v>TREND MICRO L2 Engineer</v>
      </c>
      <c r="B7" s="6">
        <f>IFERROR(__xludf.DUMMYFUNCTION("""COMPUTED_VALUE"""),46268.0)</f>
        <v>46268</v>
      </c>
      <c r="C7" s="4" t="str">
        <f>IFERROR(__xludf.DUMMYFUNCTION("""COMPUTED_VALUE"""),"Pruthviraj Prakash Desai")</f>
        <v>Pruthviraj Prakash Desai</v>
      </c>
      <c r="D7" s="4" t="str">
        <f>IFERROR(__xludf.DUMMYFUNCTION("""COMPUTED_VALUE"""),"pruthvirajdesai345@gmail.com")</f>
        <v>pruthvirajdesai345@gmail.com</v>
      </c>
      <c r="E7" s="4">
        <f>IFERROR(__xludf.DUMMYFUNCTION("""COMPUTED_VALUE"""),7.620658295E9)</f>
        <v>7620658295</v>
      </c>
      <c r="F7" s="4" t="str">
        <f>IFERROR(__xludf.DUMMYFUNCTION("""COMPUTED_VALUE"""),"New Mumbai - Maharashtra")</f>
        <v>New Mumbai - Maharashtra</v>
      </c>
      <c r="G7" s="4" t="str">
        <f>IFERROR(__xludf.DUMMYFUNCTION("""COMPUTED_VALUE"""),"Chandigarh, Chennai, Bengaluru, Noida, Mumbai (All Areas), Navi Mumbai, Mumbai, Pune, Hyderabad, Remote")</f>
        <v>Chandigarh, Chennai, Bengaluru, Noida, Mumbai (All Areas), Navi Mumbai, Mumbai, Pune, Hyderabad, Remote</v>
      </c>
      <c r="H7" s="4" t="str">
        <f>IFERROR(__xludf.DUMMYFUNCTION("""COMPUTED_VALUE"""),"2 Year(s) 9 Month(s)")</f>
        <v>2 Year(s) 9 Month(s)</v>
      </c>
      <c r="I7" s="4" t="str">
        <f>IFERROR(__xludf.DUMMYFUNCTION("""COMPUTED_VALUE"""),"NA")</f>
        <v>NA</v>
      </c>
      <c r="J7" s="4" t="str">
        <f>IFERROR(__xludf.DUMMYFUNCTION("""COMPUTED_VALUE"""),"NA")</f>
        <v>NA</v>
      </c>
      <c r="K7" s="4" t="str">
        <f>IFERROR(__xludf.DUMMYFUNCTION("""COMPUTED_VALUE"""),"Rs 5 Lakhs")</f>
        <v>Rs 5 Lakhs</v>
      </c>
      <c r="L7" s="4" t="str">
        <f>IFERROR(__xludf.DUMMYFUNCTION("""COMPUTED_VALUE"""),"1 Months")</f>
        <v>1 Months</v>
      </c>
      <c r="M7" s="4" t="str">
        <f>IFERROR(__xludf.DUMMYFUNCTION("""COMPUTED_VALUE"""),"Overal 2.7 years of IT experience in Information Security and hands on experience on SIEM tools like Qradar, Splunk and DNIF for 24/7 Monitoring of MSSP environment. Performing Log Analysis, Email Analysis, Health Checks, Dashboard Monitoring.")</f>
        <v>Overal 2.7 years of IT experience in Information Security and hands on experience on SIEM tools like Qradar, Splunk and DNIF for 24/7 Monitoring of MSSP environment. Performing Log Analysis, Email Analysis, Health Checks, Dashboard Monitoring.</v>
      </c>
      <c r="N7" s="7" t="str">
        <f>IFERROR(__xludf.DUMMYFUNCTION("""COMPUTED_VALUE"""),"B.Sc")</f>
        <v>B.Sc</v>
      </c>
      <c r="O7" s="4" t="str">
        <f>IFERROR(__xludf.DUMMYFUNCTION("""COMPUTED_VALUE"""),"Shivaji University, Kolhapur")</f>
        <v>Shivaji University, Kolhapur</v>
      </c>
      <c r="P7" s="4" t="str">
        <f>IFERROR(__xludf.DUMMYFUNCTION("""COMPUTED_VALUE"""),"NA")</f>
        <v>NA</v>
      </c>
      <c r="Q7" s="4" t="str">
        <f>IFERROR(__xludf.DUMMYFUNCTION("""COMPUTED_VALUE"""),"NA")</f>
        <v>NA</v>
      </c>
      <c r="R7" s="4" t="str">
        <f>IFERROR(__xludf.DUMMYFUNCTION("""COMPUTED_VALUE"""),"NA")</f>
        <v>NA</v>
      </c>
      <c r="S7" s="4" t="str">
        <f>IFERROR(__xludf.DUMMYFUNCTION("""COMPUTED_VALUE"""),"NA")</f>
        <v>NA</v>
      </c>
      <c r="T7" s="4" t="str">
        <f>IFERROR(__xludf.DUMMYFUNCTION("""COMPUTED_VALUE"""),"Male")</f>
        <v>Male</v>
      </c>
      <c r="U7" s="4" t="str">
        <f>IFERROR(__xludf.DUMMYFUNCTION("""COMPUTED_VALUE"""),"NA")</f>
        <v>NA</v>
      </c>
      <c r="V7" s="6">
        <f>IFERROR(__xludf.DUMMYFUNCTION("""COMPUTED_VALUE"""),36672.0)</f>
        <v>36672</v>
      </c>
      <c r="W7" s="4" t="str">
        <f>IFERROR(__xludf.DUMMYFUNCTION("""COMPUTED_VALUE"""),"Maybe")</f>
        <v>Maybe</v>
      </c>
      <c r="X7" s="4" t="str">
        <f>IFERROR(__xludf.DUMMYFUNCTION("""COMPUTED_VALUE"""),"Edu: B.Sc 2022
Current Location: Navi Mumbai
Hometown: kolapur
Total Exp: 2.9 years 
Current CTC: 5LPA
Expected CTC: 7LPA
Notice period: 30days
Certificate: No")</f>
        <v>Edu: B.Sc 2022
Current Location: Navi Mumbai
Hometown: kolapur
Total Exp: 2.9 years 
Current CTC: 5LPA
Expected CTC: 7LPA
Notice period: 30days
Certificate: No</v>
      </c>
      <c r="Y7" s="4" t="str">
        <f>IFERROR(__xludf.DUMMYFUNCTION("""COMPUTED_VALUE"""),"Profile shared with Vipul Sir on 3rd September via email")</f>
        <v>Profile shared with Vipul Sir on 3rd September via email</v>
      </c>
      <c r="Z7" s="4" t="str">
        <f>IFERROR(__xludf.DUMMYFUNCTION("""COMPUTED_VALUE"""),"NA")</f>
        <v>NA</v>
      </c>
      <c r="AA7" s="4" t="str">
        <f>IFERROR(__xludf.DUMMYFUNCTION("""COMPUTED_VALUE"""),"NA")</f>
        <v>NA</v>
      </c>
      <c r="AB7" s="4" t="str">
        <f>IFERROR(__xludf.DUMMYFUNCTION("""COMPUTED_VALUE"""),"NA")</f>
        <v>NA</v>
      </c>
      <c r="AC7" s="4" t="str">
        <f>IFERROR(__xludf.DUMMYFUNCTION("""COMPUTED_VALUE"""),"Yes")</f>
        <v>Yes</v>
      </c>
      <c r="AD7" s="4">
        <f>IFERROR(__xludf.DUMMYFUNCTION("""COMPUTED_VALUE"""),1.0)</f>
        <v>1</v>
      </c>
      <c r="AE7" s="4" t="str">
        <f>IFERROR(__xludf.DUMMYFUNCTION("""COMPUTED_VALUE"""),"No")</f>
        <v>No</v>
      </c>
      <c r="AF7" s="4">
        <f>IFERROR(__xludf.DUMMYFUNCTION("""COMPUTED_VALUE"""),1.0)</f>
        <v>1</v>
      </c>
      <c r="AG7" s="4">
        <f>IFERROR(__xludf.DUMMYFUNCTION("""COMPUTED_VALUE"""),500000.0)</f>
        <v>500000</v>
      </c>
      <c r="AH7" s="4" t="str">
        <f>IFERROR(__xludf.DUMMYFUNCTION("""COMPUTED_VALUE"""),"1 Month")</f>
        <v>1 Month</v>
      </c>
      <c r="AI7" s="4" t="str">
        <f>IFERROR(__xludf.DUMMYFUNCTION("""COMPUTED_VALUE"""),"Yes")</f>
        <v>Yes</v>
      </c>
      <c r="AJ7" s="4">
        <f>IFERROR(__xludf.DUMMYFUNCTION("""COMPUTED_VALUE"""),500000.0)</f>
        <v>500000</v>
      </c>
      <c r="AK7" s="7" t="str">
        <f>IFERROR(__xludf.DUMMYFUNCTION("""COMPUTED_VALUE"""),"View profile")</f>
        <v>View profile</v>
      </c>
    </row>
    <row r="8">
      <c r="A8" s="4" t="str">
        <f>IFERROR(__xludf.DUMMYFUNCTION("""COMPUTED_VALUE"""),"TREND MICRO L2 Engineer")</f>
        <v>TREND MICRO L2 Engineer</v>
      </c>
      <c r="B8" s="6">
        <f>IFERROR(__xludf.DUMMYFUNCTION("""COMPUTED_VALUE"""),46268.0)</f>
        <v>46268</v>
      </c>
      <c r="C8" s="4" t="str">
        <f>IFERROR(__xludf.DUMMYFUNCTION("""COMPUTED_VALUE"""),"Tangudu Pavan Sai")</f>
        <v>Tangudu Pavan Sai</v>
      </c>
      <c r="D8" s="4" t="str">
        <f>IFERROR(__xludf.DUMMYFUNCTION("""COMPUTED_VALUE"""),"pavanvicky9182@gmail.com")</f>
        <v>pavanvicky9182@gmail.com</v>
      </c>
      <c r="E8" s="4">
        <f>IFERROR(__xludf.DUMMYFUNCTION("""COMPUTED_VALUE"""),9.182813897E9)</f>
        <v>9182813897</v>
      </c>
      <c r="F8" s="4" t="str">
        <f>IFERROR(__xludf.DUMMYFUNCTION("""COMPUTED_VALUE"""),"Hyderabad")</f>
        <v>Hyderabad</v>
      </c>
      <c r="G8" s="4" t="str">
        <f>IFERROR(__xludf.DUMMYFUNCTION("""COMPUTED_VALUE"""),"Delhi / NCR, Gurugram, Noida, Remote, Chennai, Hyderabad, Bengaluru, Pune, Mumbai, Coimbatore")</f>
        <v>Delhi / NCR, Gurugram, Noida, Remote, Chennai, Hyderabad, Bengaluru, Pune, Mumbai, Coimbatore</v>
      </c>
      <c r="H8" s="4" t="str">
        <f>IFERROR(__xludf.DUMMYFUNCTION("""COMPUTED_VALUE"""),"4 Year(s) 5 Month(s)")</f>
        <v>4 Year(s) 5 Month(s)</v>
      </c>
      <c r="I8" s="4" t="str">
        <f>IFERROR(__xludf.DUMMYFUNCTION("""COMPUTED_VALUE"""),"Tata Consultancy Services(TCS)")</f>
        <v>Tata Consultancy Services(TCS)</v>
      </c>
      <c r="J8" s="4" t="str">
        <f>IFERROR(__xludf.DUMMYFUNCTION("""COMPUTED_VALUE"""),"Cyber Security Analyst")</f>
        <v>Cyber Security Analyst</v>
      </c>
      <c r="K8" s="4" t="str">
        <f>IFERROR(__xludf.DUMMYFUNCTION("""COMPUTED_VALUE"""),"Rs 4.50 Lakhs")</f>
        <v>Rs 4.50 Lakhs</v>
      </c>
      <c r="L8" s="4" t="str">
        <f>IFERROR(__xludf.DUMMYFUNCTION("""COMPUTED_VALUE"""),"Serving Notice Period")</f>
        <v>Serving Notice Period</v>
      </c>
      <c r="M8" s="4" t="str">
        <f>IFERROR(__xludf.DUMMYFUNCTION("""COMPUTED_VALUE"""),"Seasoned professional with 4+years of experience. Expert in Edr, Security Operations Center, Threat Analysis, Security Operations, Incident Response")</f>
        <v>Seasoned professional with 4+years of experience. Expert in Edr, Security Operations Center, Threat Analysis, Security Operations, Incident Response</v>
      </c>
      <c r="N8" s="4" t="str">
        <f>IFERROR(__xludf.DUMMYFUNCTION("""COMPUTED_VALUE"""),"B.Tech / B.E.")</f>
        <v>B.Tech / B.E.</v>
      </c>
      <c r="O8" s="4" t="str">
        <f>IFERROR(__xludf.DUMMYFUNCTION("""COMPUTED_VALUE"""),"Satya Institute of Technology and Management, Vizianagaram")</f>
        <v>Satya Institute of Technology and Management, Vizianagaram</v>
      </c>
      <c r="P8" s="4" t="str">
        <f>IFERROR(__xludf.DUMMYFUNCTION("""COMPUTED_VALUE"""),"NA")</f>
        <v>NA</v>
      </c>
      <c r="Q8" s="4" t="str">
        <f>IFERROR(__xludf.DUMMYFUNCTION("""COMPUTED_VALUE"""),"NA")</f>
        <v>NA</v>
      </c>
      <c r="R8" s="4" t="str">
        <f>IFERROR(__xludf.DUMMYFUNCTION("""COMPUTED_VALUE"""),"NA")</f>
        <v>NA</v>
      </c>
      <c r="S8" s="4" t="str">
        <f>IFERROR(__xludf.DUMMYFUNCTION("""COMPUTED_VALUE"""),"NA")</f>
        <v>NA</v>
      </c>
      <c r="T8" s="4" t="str">
        <f>IFERROR(__xludf.DUMMYFUNCTION("""COMPUTED_VALUE"""),"Male")</f>
        <v>Male</v>
      </c>
      <c r="U8" s="4" t="str">
        <f>IFERROR(__xludf.DUMMYFUNCTION("""COMPUTED_VALUE"""),"NA")</f>
        <v>NA</v>
      </c>
      <c r="V8" s="12">
        <f>IFERROR(__xludf.DUMMYFUNCTION("""COMPUTED_VALUE"""),36578.0)</f>
        <v>36578</v>
      </c>
      <c r="W8" s="4" t="str">
        <f>IFERROR(__xludf.DUMMYFUNCTION("""COMPUTED_VALUE"""),"NA")</f>
        <v>NA</v>
      </c>
      <c r="X8" s="4" t="str">
        <f>IFERROR(__xludf.DUMMYFUNCTION("""COMPUTED_VALUE"""),"TCS Employee")</f>
        <v>TCS Employee</v>
      </c>
      <c r="Y8" s="4" t="str">
        <f>IFERROR(__xludf.DUMMYFUNCTION("""COMPUTED_VALUE"""),"NA")</f>
        <v>NA</v>
      </c>
      <c r="Z8" s="4" t="str">
        <f>IFERROR(__xludf.DUMMYFUNCTION("""COMPUTED_VALUE"""),"NA")</f>
        <v>NA</v>
      </c>
      <c r="AA8" s="4" t="str">
        <f>IFERROR(__xludf.DUMMYFUNCTION("""COMPUTED_VALUE"""),"NA")</f>
        <v>NA</v>
      </c>
      <c r="AB8" s="4" t="str">
        <f>IFERROR(__xludf.DUMMYFUNCTION("""COMPUTED_VALUE"""),"NA")</f>
        <v>NA</v>
      </c>
      <c r="AC8" s="4" t="str">
        <f>IFERROR(__xludf.DUMMYFUNCTION("""COMPUTED_VALUE"""),"SOC")</f>
        <v>SOC</v>
      </c>
      <c r="AD8" s="4">
        <f>IFERROR(__xludf.DUMMYFUNCTION("""COMPUTED_VALUE"""),4.0)</f>
        <v>4</v>
      </c>
      <c r="AE8" s="4">
        <f>IFERROR(__xludf.DUMMYFUNCTION("""COMPUTED_VALUE"""),4.0)</f>
        <v>4</v>
      </c>
      <c r="AF8" s="4">
        <f>IFERROR(__xludf.DUMMYFUNCTION("""COMPUTED_VALUE"""),3.0)</f>
        <v>3</v>
      </c>
      <c r="AG8" s="4">
        <f>IFERROR(__xludf.DUMMYFUNCTION("""COMPUTED_VALUE"""),950000.0)</f>
        <v>950000</v>
      </c>
      <c r="AH8" s="4" t="str">
        <f>IFERROR(__xludf.DUMMYFUNCTION("""COMPUTED_VALUE"""),"Serving Notice Period")</f>
        <v>Serving Notice Period</v>
      </c>
      <c r="AI8" s="4" t="str">
        <f>IFERROR(__xludf.DUMMYFUNCTION("""COMPUTED_VALUE"""),"Yes")</f>
        <v>Yes</v>
      </c>
      <c r="AJ8" s="4">
        <f>IFERROR(__xludf.DUMMYFUNCTION("""COMPUTED_VALUE"""),450000.0)</f>
        <v>450000</v>
      </c>
      <c r="AK8" s="7" t="str">
        <f>IFERROR(__xludf.DUMMYFUNCTION("""COMPUTED_VALUE"""),"View profile")</f>
        <v>View profile</v>
      </c>
    </row>
    <row r="9">
      <c r="A9" s="4" t="str">
        <f>IFERROR(__xludf.DUMMYFUNCTION("""COMPUTED_VALUE"""),"TREND MICRO L2 Engineer")</f>
        <v>TREND MICRO L2 Engineer</v>
      </c>
      <c r="B9" s="6">
        <f>IFERROR(__xludf.DUMMYFUNCTION("""COMPUTED_VALUE"""),46268.0)</f>
        <v>46268</v>
      </c>
      <c r="C9" s="4" t="str">
        <f>IFERROR(__xludf.DUMMYFUNCTION("""COMPUTED_VALUE"""),"Abhishek Yuvraj Patil.")</f>
        <v>Abhishek Yuvraj Patil.</v>
      </c>
      <c r="D9" s="4" t="str">
        <f>IFERROR(__xludf.DUMMYFUNCTION("""COMPUTED_VALUE"""),"abhishekhpatil99@gmail.com")</f>
        <v>abhishekhpatil99@gmail.com</v>
      </c>
      <c r="E9" s="4">
        <f>IFERROR(__xludf.DUMMYFUNCTION("""COMPUTED_VALUE"""),7.058057599E9)</f>
        <v>7058057599</v>
      </c>
      <c r="F9" s="4" t="str">
        <f>IFERROR(__xludf.DUMMYFUNCTION("""COMPUTED_VALUE"""),"Mumbai")</f>
        <v>Mumbai</v>
      </c>
      <c r="G9" s="4" t="str">
        <f>IFERROR(__xludf.DUMMYFUNCTION("""COMPUTED_VALUE"""),"Pune, Mumbai, Bengaluru, Delhi / NCR, Noida, Chennai")</f>
        <v>Pune, Mumbai, Bengaluru, Delhi / NCR, Noida, Chennai</v>
      </c>
      <c r="H9" s="4" t="str">
        <f>IFERROR(__xludf.DUMMYFUNCTION("""COMPUTED_VALUE"""),"2 Year(s) 8 Month(s)")</f>
        <v>2 Year(s) 8 Month(s)</v>
      </c>
      <c r="I9" s="4" t="str">
        <f>IFERROR(__xludf.DUMMYFUNCTION("""COMPUTED_VALUE"""),"Infosys")</f>
        <v>Infosys</v>
      </c>
      <c r="J9" s="4" t="str">
        <f>IFERROR(__xludf.DUMMYFUNCTION("""COMPUTED_VALUE"""),"Information Security Analyst")</f>
        <v>Information Security Analyst</v>
      </c>
      <c r="K9" s="4" t="str">
        <f>IFERROR(__xludf.DUMMYFUNCTION("""COMPUTED_VALUE"""),"Rs 4.50 Lakhs")</f>
        <v>Rs 4.50 Lakhs</v>
      </c>
      <c r="L9" s="4" t="str">
        <f>IFERROR(__xludf.DUMMYFUNCTION("""COMPUTED_VALUE"""),"Serving Notice Period")</f>
        <v>Serving Notice Period</v>
      </c>
      <c r="M9" s="4" t="str">
        <f>IFERROR(__xludf.DUMMYFUNCTION("""COMPUTED_VALUE"""),"Cyber Security Analyst| Nearly 3 Years of experience Threat Detection | Incident Response | SIEM (Splunk, Qradar)| SOC Monitoring | Security Operations Center (SOC) Analyst (L1) | EDR (CrowdStrike, MS Defender) |")</f>
        <v>Cyber Security Analyst| Nearly 3 Years of experience Threat Detection | Incident Response | SIEM (Splunk, Qradar)| SOC Monitoring | Security Operations Center (SOC) Analyst (L1) | EDR (CrowdStrike, MS Defender) |</v>
      </c>
      <c r="N9" s="7" t="str">
        <f>IFERROR(__xludf.DUMMYFUNCTION("""COMPUTED_VALUE"""),"B.Sc")</f>
        <v>B.Sc</v>
      </c>
      <c r="O9" s="4" t="str">
        <f>IFERROR(__xludf.DUMMYFUNCTION("""COMPUTED_VALUE"""),"Dr Babasaheb Ambedkar Technological University, Lonere")</f>
        <v>Dr Babasaheb Ambedkar Technological University, Lonere</v>
      </c>
      <c r="P9" s="4" t="str">
        <f>IFERROR(__xludf.DUMMYFUNCTION("""COMPUTED_VALUE"""),"NA")</f>
        <v>NA</v>
      </c>
      <c r="Q9" s="4" t="str">
        <f>IFERROR(__xludf.DUMMYFUNCTION("""COMPUTED_VALUE"""),"NA")</f>
        <v>NA</v>
      </c>
      <c r="R9" s="4" t="str">
        <f>IFERROR(__xludf.DUMMYFUNCTION("""COMPUTED_VALUE"""),"NA")</f>
        <v>NA</v>
      </c>
      <c r="S9" s="4" t="str">
        <f>IFERROR(__xludf.DUMMYFUNCTION("""COMPUTED_VALUE"""),"NA")</f>
        <v>NA</v>
      </c>
      <c r="T9" s="4" t="str">
        <f>IFERROR(__xludf.DUMMYFUNCTION("""COMPUTED_VALUE"""),"Male")</f>
        <v>Male</v>
      </c>
      <c r="U9" s="4" t="str">
        <f>IFERROR(__xludf.DUMMYFUNCTION("""COMPUTED_VALUE"""),"SANGLI")</f>
        <v>SANGLI</v>
      </c>
      <c r="V9" s="6">
        <f>IFERROR(__xludf.DUMMYFUNCTION("""COMPUTED_VALUE"""),36170.0)</f>
        <v>36170</v>
      </c>
      <c r="W9" s="4" t="str">
        <f>IFERROR(__xludf.DUMMYFUNCTION("""COMPUTED_VALUE"""),"NA")</f>
        <v>NA</v>
      </c>
      <c r="X9" s="4" t="str">
        <f>IFERROR(__xludf.DUMMYFUNCTION("""COMPUTED_VALUE"""),"NA")</f>
        <v>NA</v>
      </c>
      <c r="Y9" s="4" t="str">
        <f>IFERROR(__xludf.DUMMYFUNCTION("""COMPUTED_VALUE"""),"NA")</f>
        <v>NA</v>
      </c>
      <c r="Z9" s="4" t="str">
        <f>IFERROR(__xludf.DUMMYFUNCTION("""COMPUTED_VALUE"""),"NA")</f>
        <v>NA</v>
      </c>
      <c r="AA9" s="4" t="str">
        <f>IFERROR(__xludf.DUMMYFUNCTION("""COMPUTED_VALUE"""),"NA")</f>
        <v>NA</v>
      </c>
      <c r="AB9" s="4" t="str">
        <f>IFERROR(__xludf.DUMMYFUNCTION("""COMPUTED_VALUE"""),"NA")</f>
        <v>NA</v>
      </c>
      <c r="AC9" s="4" t="str">
        <f>IFERROR(__xludf.DUMMYFUNCTION("""COMPUTED_VALUE"""),"Edr,Xdr,micro apex one")</f>
        <v>Edr,Xdr,micro apex one</v>
      </c>
      <c r="AD9" s="4" t="str">
        <f>IFERROR(__xludf.DUMMYFUNCTION("""COMPUTED_VALUE"""),"2 years")</f>
        <v>2 years</v>
      </c>
      <c r="AE9" s="4" t="str">
        <f>IFERROR(__xludf.DUMMYFUNCTION("""COMPUTED_VALUE"""),"2 years")</f>
        <v>2 years</v>
      </c>
      <c r="AF9" s="4" t="str">
        <f>IFERROR(__xludf.DUMMYFUNCTION("""COMPUTED_VALUE"""),"2 years")</f>
        <v>2 years</v>
      </c>
      <c r="AG9" s="4">
        <f>IFERROR(__xludf.DUMMYFUNCTION("""COMPUTED_VALUE"""),0.0)</f>
        <v>0</v>
      </c>
      <c r="AH9" s="4" t="str">
        <f>IFERROR(__xludf.DUMMYFUNCTION("""COMPUTED_VALUE"""),"Serving Notice Period")</f>
        <v>Serving Notice Period</v>
      </c>
      <c r="AI9" s="4" t="str">
        <f>IFERROR(__xludf.DUMMYFUNCTION("""COMPUTED_VALUE"""),"Yes")</f>
        <v>Yes</v>
      </c>
      <c r="AJ9" s="4">
        <f>IFERROR(__xludf.DUMMYFUNCTION("""COMPUTED_VALUE"""),450000.0)</f>
        <v>450000</v>
      </c>
      <c r="AK9" s="7" t="str">
        <f>IFERROR(__xludf.DUMMYFUNCTION("""COMPUTED_VALUE"""),"View profile")</f>
        <v>View profile</v>
      </c>
    </row>
    <row r="10">
      <c r="A10" s="4" t="str">
        <f>IFERROR(__xludf.DUMMYFUNCTION("""COMPUTED_VALUE"""),"TREND MICRO L2 Engineer")</f>
        <v>TREND MICRO L2 Engineer</v>
      </c>
      <c r="B10" s="6">
        <f>IFERROR(__xludf.DUMMYFUNCTION("""COMPUTED_VALUE"""),46268.0)</f>
        <v>46268</v>
      </c>
      <c r="C10" s="4" t="str">
        <f>IFERROR(__xludf.DUMMYFUNCTION("""COMPUTED_VALUE"""),"Ritika Koshti")</f>
        <v>Ritika Koshti</v>
      </c>
      <c r="D10" s="4" t="str">
        <f>IFERROR(__xludf.DUMMYFUNCTION("""COMPUTED_VALUE"""),"koshtiritu444@gmail.com")</f>
        <v>koshtiritu444@gmail.com</v>
      </c>
      <c r="E10" s="4">
        <f>IFERROR(__xludf.DUMMYFUNCTION("""COMPUTED_VALUE"""),9.993129669E9)</f>
        <v>9993129669</v>
      </c>
      <c r="F10" s="4" t="str">
        <f>IFERROR(__xludf.DUMMYFUNCTION("""COMPUTED_VALUE"""),"Mumbai")</f>
        <v>Mumbai</v>
      </c>
      <c r="G10" s="4" t="str">
        <f>IFERROR(__xludf.DUMMYFUNCTION("""COMPUTED_VALUE"""),"New Delhi, Pune, Mumbai, Remote, Ahmedabad")</f>
        <v>New Delhi, Pune, Mumbai, Remote, Ahmedabad</v>
      </c>
      <c r="H10" s="4" t="str">
        <f>IFERROR(__xludf.DUMMYFUNCTION("""COMPUTED_VALUE"""),"2 Year(s) 6 Month(s)")</f>
        <v>2 Year(s) 6 Month(s)</v>
      </c>
      <c r="I10" s="4" t="str">
        <f>IFERROR(__xludf.DUMMYFUNCTION("""COMPUTED_VALUE"""),"CyberNX Technologies")</f>
        <v>CyberNX Technologies</v>
      </c>
      <c r="J10" s="4" t="str">
        <f>IFERROR(__xludf.DUMMYFUNCTION("""COMPUTED_VALUE"""),"SOC Analyst - L1")</f>
        <v>SOC Analyst - L1</v>
      </c>
      <c r="K10" s="4" t="str">
        <f>IFERROR(__xludf.DUMMYFUNCTION("""COMPUTED_VALUE"""),"Rs 5.50 Lakhs")</f>
        <v>Rs 5.50 Lakhs</v>
      </c>
      <c r="L10" s="4" t="str">
        <f>IFERROR(__xludf.DUMMYFUNCTION("""COMPUTED_VALUE"""),"2 Months")</f>
        <v>2 Months</v>
      </c>
      <c r="M10" s="4" t="str">
        <f>IFERROR(__xludf.DUMMYFUNCTION("""COMPUTED_VALUE"""),"Hands-on experience in Cyber Security, Endpoint Security, Sophos Central, Security Operations Centre, Log Analysis, Risk Analysis, Threat Hunting, CEH, SIEM, EDR, ELK, IBM Qradar, Splunk, Azure Sentinel, Azure AD, Office 365, Security Audit, GRC")</f>
        <v>Hands-on experience in Cyber Security, Endpoint Security, Sophos Central, Security Operations Centre, Log Analysis, Risk Analysis, Threat Hunting, CEH, SIEM, EDR, ELK, IBM Qradar, Splunk, Azure Sentinel, Azure AD, Office 365, Security Audit, GRC</v>
      </c>
      <c r="N10" s="7" t="str">
        <f>IFERROR(__xludf.DUMMYFUNCTION("""COMPUTED_VALUE"""),"B.Sc")</f>
        <v>B.Sc</v>
      </c>
      <c r="O10" s="4" t="str">
        <f>IFERROR(__xludf.DUMMYFUNCTION("""COMPUTED_VALUE"""),"Holkar Science College, Indore")</f>
        <v>Holkar Science College, Indore</v>
      </c>
      <c r="P10" s="4" t="str">
        <f>IFERROR(__xludf.DUMMYFUNCTION("""COMPUTED_VALUE"""),"Cyber Security Engineering")</f>
        <v>Cyber Security Engineering</v>
      </c>
      <c r="Q10" s="4" t="str">
        <f>IFERROR(__xludf.DUMMYFUNCTION("""COMPUTED_VALUE"""),"Rashtriya Raksha University, Gandhinagar")</f>
        <v>Rashtriya Raksha University, Gandhinagar</v>
      </c>
      <c r="R10" s="4" t="str">
        <f>IFERROR(__xludf.DUMMYFUNCTION("""COMPUTED_VALUE"""),"NA")</f>
        <v>NA</v>
      </c>
      <c r="S10" s="4" t="str">
        <f>IFERROR(__xludf.DUMMYFUNCTION("""COMPUTED_VALUE"""),"NA")</f>
        <v>NA</v>
      </c>
      <c r="T10" s="4" t="str">
        <f>IFERROR(__xludf.DUMMYFUNCTION("""COMPUTED_VALUE"""),"Female")</f>
        <v>Female</v>
      </c>
      <c r="U10" s="4" t="str">
        <f>IFERROR(__xludf.DUMMYFUNCTION("""COMPUTED_VALUE"""),"Dewas, Madhya Pradesh")</f>
        <v>Dewas, Madhya Pradesh</v>
      </c>
      <c r="V10" s="12">
        <f>IFERROR(__xludf.DUMMYFUNCTION("""COMPUTED_VALUE"""),36771.0)</f>
        <v>36771</v>
      </c>
      <c r="W10" s="4" t="str">
        <f>IFERROR(__xludf.DUMMYFUNCTION("""COMPUTED_VALUE"""),"Rejected")</f>
        <v>Rejected</v>
      </c>
      <c r="X10" s="4" t="str">
        <f>IFERROR(__xludf.DUMMYFUNCTION("""COMPUTED_VALUE"""),"Not Applicable - F")</f>
        <v>Not Applicable - F</v>
      </c>
      <c r="Y10" s="4" t="str">
        <f>IFERROR(__xludf.DUMMYFUNCTION("""COMPUTED_VALUE"""),"NA")</f>
        <v>NA</v>
      </c>
      <c r="Z10" s="4" t="str">
        <f>IFERROR(__xludf.DUMMYFUNCTION("""COMPUTED_VALUE"""),"NA")</f>
        <v>NA</v>
      </c>
      <c r="AA10" s="4" t="str">
        <f>IFERROR(__xludf.DUMMYFUNCTION("""COMPUTED_VALUE"""),"NA")</f>
        <v>NA</v>
      </c>
      <c r="AB10" s="4" t="str">
        <f>IFERROR(__xludf.DUMMYFUNCTION("""COMPUTED_VALUE"""),"NA")</f>
        <v>NA</v>
      </c>
      <c r="AC10" s="4" t="str">
        <f>IFERROR(__xludf.DUMMYFUNCTION("""COMPUTED_VALUE"""),"-")</f>
        <v>-</v>
      </c>
      <c r="AD10" s="4" t="str">
        <f>IFERROR(__xludf.DUMMYFUNCTION("""COMPUTED_VALUE"""),"1 year")</f>
        <v>1 year</v>
      </c>
      <c r="AE10" s="4" t="str">
        <f>IFERROR(__xludf.DUMMYFUNCTION("""COMPUTED_VALUE"""),"1 year")</f>
        <v>1 year</v>
      </c>
      <c r="AF10" s="4" t="str">
        <f>IFERROR(__xludf.DUMMYFUNCTION("""COMPUTED_VALUE"""),"1 year")</f>
        <v>1 year</v>
      </c>
      <c r="AG10" s="4">
        <f>IFERROR(__xludf.DUMMYFUNCTION("""COMPUTED_VALUE"""),550000.0)</f>
        <v>550000</v>
      </c>
      <c r="AH10" s="4" t="str">
        <f>IFERROR(__xludf.DUMMYFUNCTION("""COMPUTED_VALUE"""),"2 Months")</f>
        <v>2 Months</v>
      </c>
      <c r="AI10" s="4" t="str">
        <f>IFERROR(__xludf.DUMMYFUNCTION("""COMPUTED_VALUE"""),"Yes")</f>
        <v>Yes</v>
      </c>
      <c r="AJ10" s="4">
        <f>IFERROR(__xludf.DUMMYFUNCTION("""COMPUTED_VALUE"""),550000.0)</f>
        <v>550000</v>
      </c>
      <c r="AK10" s="7" t="str">
        <f>IFERROR(__xludf.DUMMYFUNCTION("""COMPUTED_VALUE"""),"View profile")</f>
        <v>View profile</v>
      </c>
    </row>
    <row r="11">
      <c r="A11" s="4" t="str">
        <f>IFERROR(__xludf.DUMMYFUNCTION("""COMPUTED_VALUE"""),"TREND MICRO L2 Engineer")</f>
        <v>TREND MICRO L2 Engineer</v>
      </c>
      <c r="B11" s="6">
        <f>IFERROR(__xludf.DUMMYFUNCTION("""COMPUTED_VALUE"""),46268.0)</f>
        <v>46268</v>
      </c>
      <c r="C11" s="4" t="str">
        <f>IFERROR(__xludf.DUMMYFUNCTION("""COMPUTED_VALUE"""),"Murkute Vaibhav")</f>
        <v>Murkute Vaibhav</v>
      </c>
      <c r="D11" s="4" t="str">
        <f>IFERROR(__xludf.DUMMYFUNCTION("""COMPUTED_VALUE"""),"murkutevaibhav14@gmail.com")</f>
        <v>murkutevaibhav14@gmail.com</v>
      </c>
      <c r="E11" s="4">
        <f>IFERROR(__xludf.DUMMYFUNCTION("""COMPUTED_VALUE"""),9.119454064E9)</f>
        <v>9119454064</v>
      </c>
      <c r="F11" s="4" t="str">
        <f>IFERROR(__xludf.DUMMYFUNCTION("""COMPUTED_VALUE"""),"Pune")</f>
        <v>Pune</v>
      </c>
      <c r="G11" s="4" t="str">
        <f>IFERROR(__xludf.DUMMYFUNCTION("""COMPUTED_VALUE"""),"Pune, Remote, Mumbai")</f>
        <v>Pune, Remote, Mumbai</v>
      </c>
      <c r="H11" s="4" t="str">
        <f>IFERROR(__xludf.DUMMYFUNCTION("""COMPUTED_VALUE"""),"3 Year(s) 3 Month(s)")</f>
        <v>3 Year(s) 3 Month(s)</v>
      </c>
      <c r="I11" s="4" t="str">
        <f>IFERROR(__xludf.DUMMYFUNCTION("""COMPUTED_VALUE"""),"NA")</f>
        <v>NA</v>
      </c>
      <c r="J11" s="4" t="str">
        <f>IFERROR(__xludf.DUMMYFUNCTION("""COMPUTED_VALUE"""),"NA")</f>
        <v>NA</v>
      </c>
      <c r="K11" s="4" t="str">
        <f>IFERROR(__xludf.DUMMYFUNCTION("""COMPUTED_VALUE"""),"Rs 6 Lakhs")</f>
        <v>Rs 6 Lakhs</v>
      </c>
      <c r="L11" s="4" t="str">
        <f>IFERROR(__xludf.DUMMYFUNCTION("""COMPUTED_VALUE"""),"Serving Notice Period")</f>
        <v>Serving Notice Period</v>
      </c>
      <c r="M11" s="4" t="str">
        <f>IFERROR(__xludf.DUMMYFUNCTION("""COMPUTED_VALUE"""),"Soc Analyst L1 | SIEM | SPLUNK | Microsoft Sentinel | EDR | MS Defender | Crowdstrike | Threat Detection &amp; Incidence Response | Email Security | GRC | DLP | Vulnerability Assessment | Vulnerability Management | Tenable SC | Nessus |")</f>
        <v>Soc Analyst L1 | SIEM | SPLUNK | Microsoft Sentinel | EDR | MS Defender | Crowdstrike | Threat Detection &amp; Incidence Response | Email Security | GRC | DLP | Vulnerability Assessment | Vulnerability Management | Tenable SC | Nessus |</v>
      </c>
      <c r="N11" s="4" t="str">
        <f>IFERROR(__xludf.DUMMYFUNCTION("""COMPUTED_VALUE"""),"B.C.A.")</f>
        <v>B.C.A.</v>
      </c>
      <c r="O11" s="4" t="str">
        <f>IFERROR(__xludf.DUMMYFUNCTION("""COMPUTED_VALUE"""),"Pune University")</f>
        <v>Pune University</v>
      </c>
      <c r="P11" s="4" t="str">
        <f>IFERROR(__xludf.DUMMYFUNCTION("""COMPUTED_VALUE"""),"NA")</f>
        <v>NA</v>
      </c>
      <c r="Q11" s="4" t="str">
        <f>IFERROR(__xludf.DUMMYFUNCTION("""COMPUTED_VALUE"""),"NA")</f>
        <v>NA</v>
      </c>
      <c r="R11" s="4" t="str">
        <f>IFERROR(__xludf.DUMMYFUNCTION("""COMPUTED_VALUE"""),"NA")</f>
        <v>NA</v>
      </c>
      <c r="S11" s="4" t="str">
        <f>IFERROR(__xludf.DUMMYFUNCTION("""COMPUTED_VALUE"""),"NA")</f>
        <v>NA</v>
      </c>
      <c r="T11" s="4" t="str">
        <f>IFERROR(__xludf.DUMMYFUNCTION("""COMPUTED_VALUE"""),"Male")</f>
        <v>Male</v>
      </c>
      <c r="U11" s="4" t="str">
        <f>IFERROR(__xludf.DUMMYFUNCTION("""COMPUTED_VALUE"""),"Pune")</f>
        <v>Pune</v>
      </c>
      <c r="V11" s="12">
        <f>IFERROR(__xludf.DUMMYFUNCTION("""COMPUTED_VALUE"""),37478.0)</f>
        <v>37478</v>
      </c>
      <c r="W11" s="4" t="str">
        <f>IFERROR(__xludf.DUMMYFUNCTION("""COMPUTED_VALUE"""),"NA")</f>
        <v>NA</v>
      </c>
      <c r="X11" s="4" t="str">
        <f>IFERROR(__xludf.DUMMYFUNCTION("""COMPUTED_VALUE"""),"NA")</f>
        <v>NA</v>
      </c>
      <c r="Y11" s="4" t="str">
        <f>IFERROR(__xludf.DUMMYFUNCTION("""COMPUTED_VALUE"""),"NA")</f>
        <v>NA</v>
      </c>
      <c r="Z11" s="4" t="str">
        <f>IFERROR(__xludf.DUMMYFUNCTION("""COMPUTED_VALUE"""),"NA")</f>
        <v>NA</v>
      </c>
      <c r="AA11" s="4" t="str">
        <f>IFERROR(__xludf.DUMMYFUNCTION("""COMPUTED_VALUE"""),"NA")</f>
        <v>NA</v>
      </c>
      <c r="AB11" s="4" t="str">
        <f>IFERROR(__xludf.DUMMYFUNCTION("""COMPUTED_VALUE"""),"NA")</f>
        <v>NA</v>
      </c>
      <c r="AC11" s="4" t="str">
        <f>IFERROR(__xludf.DUMMYFUNCTION("""COMPUTED_VALUE"""),"Siem.edr")</f>
        <v>Siem.edr</v>
      </c>
      <c r="AD11" s="4" t="str">
        <f>IFERROR(__xludf.DUMMYFUNCTION("""COMPUTED_VALUE"""),"3.3 years")</f>
        <v>3.3 years</v>
      </c>
      <c r="AE11" s="4" t="str">
        <f>IFERROR(__xludf.DUMMYFUNCTION("""COMPUTED_VALUE"""),"3.3 years")</f>
        <v>3.3 years</v>
      </c>
      <c r="AF11" s="4" t="str">
        <f>IFERROR(__xludf.DUMMYFUNCTION("""COMPUTED_VALUE"""),"3.3 years")</f>
        <v>3.3 years</v>
      </c>
      <c r="AG11" s="4">
        <f>IFERROR(__xludf.DUMMYFUNCTION("""COMPUTED_VALUE"""),700000.0)</f>
        <v>700000</v>
      </c>
      <c r="AH11" s="4" t="str">
        <f>IFERROR(__xludf.DUMMYFUNCTION("""COMPUTED_VALUE"""),"Serving Notice Period")</f>
        <v>Serving Notice Period</v>
      </c>
      <c r="AI11" s="4" t="str">
        <f>IFERROR(__xludf.DUMMYFUNCTION("""COMPUTED_VALUE"""),"Yes")</f>
        <v>Yes</v>
      </c>
      <c r="AJ11" s="4">
        <f>IFERROR(__xludf.DUMMYFUNCTION("""COMPUTED_VALUE"""),600000.0)</f>
        <v>600000</v>
      </c>
      <c r="AK11" s="7" t="str">
        <f>IFERROR(__xludf.DUMMYFUNCTION("""COMPUTED_VALUE"""),"View profile")</f>
        <v>View profile</v>
      </c>
    </row>
    <row r="12">
      <c r="A12" s="4" t="str">
        <f>IFERROR(__xludf.DUMMYFUNCTION("""COMPUTED_VALUE"""),"TREND MICRO L2 Engineer")</f>
        <v>TREND MICRO L2 Engineer</v>
      </c>
      <c r="B12" s="6">
        <f>IFERROR(__xludf.DUMMYFUNCTION("""COMPUTED_VALUE"""),46268.0)</f>
        <v>46268</v>
      </c>
      <c r="C12" s="4" t="str">
        <f>IFERROR(__xludf.DUMMYFUNCTION("""COMPUTED_VALUE"""),"Gayatri Girish Girwalkar")</f>
        <v>Gayatri Girish Girwalkar</v>
      </c>
      <c r="D12" s="4" t="str">
        <f>IFERROR(__xludf.DUMMYFUNCTION("""COMPUTED_VALUE"""),"gayatrigirwalkar31@gmail.com")</f>
        <v>gayatrigirwalkar31@gmail.com</v>
      </c>
      <c r="E12" s="4" t="str">
        <f>IFERROR(__xludf.DUMMYFUNCTION("""COMPUTED_VALUE"""),"7620448657, +7620448657")</f>
        <v>7620448657, +7620448657</v>
      </c>
      <c r="F12" s="4" t="str">
        <f>IFERROR(__xludf.DUMMYFUNCTION("""COMPUTED_VALUE"""),"Bengaluru")</f>
        <v>Bengaluru</v>
      </c>
      <c r="G12" s="4" t="str">
        <f>IFERROR(__xludf.DUMMYFUNCTION("""COMPUTED_VALUE"""),"Pune, Bengaluru")</f>
        <v>Pune, Bengaluru</v>
      </c>
      <c r="H12" s="4" t="str">
        <f>IFERROR(__xludf.DUMMYFUNCTION("""COMPUTED_VALUE"""),"4 Year(s) 7 Month(s)")</f>
        <v>4 Year(s) 7 Month(s)</v>
      </c>
      <c r="I12" s="4" t="str">
        <f>IFERROR(__xludf.DUMMYFUNCTION("""COMPUTED_VALUE"""),"HCLTech")</f>
        <v>HCLTech</v>
      </c>
      <c r="J12" s="4" t="str">
        <f>IFERROR(__xludf.DUMMYFUNCTION("""COMPUTED_VALUE"""),"Senior Analyst")</f>
        <v>Senior Analyst</v>
      </c>
      <c r="K12" s="4" t="str">
        <f>IFERROR(__xludf.DUMMYFUNCTION("""COMPUTED_VALUE"""),"Rs 5.75 Lakhs")</f>
        <v>Rs 5.75 Lakhs</v>
      </c>
      <c r="L12" s="4" t="str">
        <f>IFERROR(__xludf.DUMMYFUNCTION("""COMPUTED_VALUE"""),"2 Months")</f>
        <v>2 Months</v>
      </c>
      <c r="M12" s="4" t="str">
        <f>IFERROR(__xludf.DUMMYFUNCTION("""COMPUTED_VALUE"""),"Senior Analyst – Endpoint Security (EDR/AV), SOC Operations, SIEM &amp; SOAR, SOC Analyst, Microsoft Defender, Trend Micro, Crowdstrike, Trellix ePO, Trellix EDR, service now, Incidence response, jira, Google Siemplify, Devo |HCLTech|4.5+ experience.")</f>
        <v>Senior Analyst – Endpoint Security (EDR/AV), SOC Operations, SIEM &amp; SOAR, SOC Analyst, Microsoft Defender, Trend Micro, Crowdstrike, Trellix ePO, Trellix EDR, service now, Incidence response, jira, Google Siemplify, Devo |HCLTech|4.5+ experience.</v>
      </c>
      <c r="N12" s="4" t="str">
        <f>IFERROR(__xludf.DUMMYFUNCTION("""COMPUTED_VALUE"""),"B.Tech / B.E.")</f>
        <v>B.Tech / B.E.</v>
      </c>
      <c r="O12" s="4" t="str">
        <f>IFERROR(__xludf.DUMMYFUNCTION("""COMPUTED_VALUE"""),"Bidve college")</f>
        <v>Bidve college</v>
      </c>
      <c r="P12" s="4" t="str">
        <f>IFERROR(__xludf.DUMMYFUNCTION("""COMPUTED_VALUE"""),"NA")</f>
        <v>NA</v>
      </c>
      <c r="Q12" s="4" t="str">
        <f>IFERROR(__xludf.DUMMYFUNCTION("""COMPUTED_VALUE"""),"NA")</f>
        <v>NA</v>
      </c>
      <c r="R12" s="4" t="str">
        <f>IFERROR(__xludf.DUMMYFUNCTION("""COMPUTED_VALUE"""),"NA")</f>
        <v>NA</v>
      </c>
      <c r="S12" s="4" t="str">
        <f>IFERROR(__xludf.DUMMYFUNCTION("""COMPUTED_VALUE"""),"NA")</f>
        <v>NA</v>
      </c>
      <c r="T12" s="4" t="str">
        <f>IFERROR(__xludf.DUMMYFUNCTION("""COMPUTED_VALUE"""),"Female")</f>
        <v>Female</v>
      </c>
      <c r="U12" s="4" t="str">
        <f>IFERROR(__xludf.DUMMYFUNCTION("""COMPUTED_VALUE"""),"latur")</f>
        <v>latur</v>
      </c>
      <c r="V12" s="12">
        <f>IFERROR(__xludf.DUMMYFUNCTION("""COMPUTED_VALUE"""),36311.0)</f>
        <v>36311</v>
      </c>
      <c r="W12" s="4" t="str">
        <f>IFERROR(__xludf.DUMMYFUNCTION("""COMPUTED_VALUE"""),"Rejected")</f>
        <v>Rejected</v>
      </c>
      <c r="X12" s="4" t="str">
        <f>IFERROR(__xludf.DUMMYFUNCTION("""COMPUTED_VALUE"""),"Not Applicable - F")</f>
        <v>Not Applicable - F</v>
      </c>
      <c r="Y12" s="4" t="str">
        <f>IFERROR(__xludf.DUMMYFUNCTION("""COMPUTED_VALUE"""),"NA")</f>
        <v>NA</v>
      </c>
      <c r="Z12" s="4" t="str">
        <f>IFERROR(__xludf.DUMMYFUNCTION("""COMPUTED_VALUE"""),"NA")</f>
        <v>NA</v>
      </c>
      <c r="AA12" s="4" t="str">
        <f>IFERROR(__xludf.DUMMYFUNCTION("""COMPUTED_VALUE"""),"NA")</f>
        <v>NA</v>
      </c>
      <c r="AB12" s="4" t="str">
        <f>IFERROR(__xludf.DUMMYFUNCTION("""COMPUTED_VALUE"""),"NA")</f>
        <v>NA</v>
      </c>
      <c r="AC12" s="4" t="str">
        <f>IFERROR(__xludf.DUMMYFUNCTION("""COMPUTED_VALUE"""),"Trend Micro Cloudone, Microsoft Defender for endpoint")</f>
        <v>Trend Micro Cloudone, Microsoft Defender for endpoint</v>
      </c>
      <c r="AD12" s="4">
        <f>IFERROR(__xludf.DUMMYFUNCTION("""COMPUTED_VALUE"""),4.0)</f>
        <v>4</v>
      </c>
      <c r="AE12" s="4">
        <f>IFERROR(__xludf.DUMMYFUNCTION("""COMPUTED_VALUE"""),1.0)</f>
        <v>1</v>
      </c>
      <c r="AF12" s="4">
        <f>IFERROR(__xludf.DUMMYFUNCTION("""COMPUTED_VALUE"""),0.0)</f>
        <v>0</v>
      </c>
      <c r="AG12" s="4">
        <f>IFERROR(__xludf.DUMMYFUNCTION("""COMPUTED_VALUE"""),900000.0)</f>
        <v>900000</v>
      </c>
      <c r="AH12" s="4" t="str">
        <f>IFERROR(__xludf.DUMMYFUNCTION("""COMPUTED_VALUE"""),"2 Months")</f>
        <v>2 Months</v>
      </c>
      <c r="AI12" s="4" t="str">
        <f>IFERROR(__xludf.DUMMYFUNCTION("""COMPUTED_VALUE"""),"Yes")</f>
        <v>Yes</v>
      </c>
      <c r="AJ12" s="4">
        <f>IFERROR(__xludf.DUMMYFUNCTION("""COMPUTED_VALUE"""),575000.0)</f>
        <v>575000</v>
      </c>
      <c r="AK12" s="7" t="str">
        <f>IFERROR(__xludf.DUMMYFUNCTION("""COMPUTED_VALUE"""),"View profile")</f>
        <v>View profile</v>
      </c>
    </row>
    <row r="13">
      <c r="A13" s="4" t="str">
        <f>IFERROR(__xludf.DUMMYFUNCTION("""COMPUTED_VALUE"""),"TREND MICRO L2 Engineer")</f>
        <v>TREND MICRO L2 Engineer</v>
      </c>
      <c r="B13" s="6">
        <f>IFERROR(__xludf.DUMMYFUNCTION("""COMPUTED_VALUE"""),46268.0)</f>
        <v>46268</v>
      </c>
      <c r="C13" s="4" t="str">
        <f>IFERROR(__xludf.DUMMYFUNCTION("""COMPUTED_VALUE"""),"Snigdha Prusty")</f>
        <v>Snigdha Prusty</v>
      </c>
      <c r="D13" s="4" t="str">
        <f>IFERROR(__xludf.DUMMYFUNCTION("""COMPUTED_VALUE"""),"snigdhaprusty01@gmail.com, snigdhaprusty01@gmail.com")</f>
        <v>snigdhaprusty01@gmail.com, snigdhaprusty01@gmail.com</v>
      </c>
      <c r="E13" s="4">
        <f>IFERROR(__xludf.DUMMYFUNCTION("""COMPUTED_VALUE"""),7.894288199E9)</f>
        <v>7894288199</v>
      </c>
      <c r="F13" s="4" t="str">
        <f>IFERROR(__xludf.DUMMYFUNCTION("""COMPUTED_VALUE"""),"Hyderabad")</f>
        <v>Hyderabad</v>
      </c>
      <c r="G13" s="4" t="str">
        <f>IFERROR(__xludf.DUMMYFUNCTION("""COMPUTED_VALUE"""),"Hyderabad, Bhubaneswar, Bengaluru, Remote, Mumbai, Pune, Kolkata")</f>
        <v>Hyderabad, Bhubaneswar, Bengaluru, Remote, Mumbai, Pune, Kolkata</v>
      </c>
      <c r="H13" s="4" t="str">
        <f>IFERROR(__xludf.DUMMYFUNCTION("""COMPUTED_VALUE"""),"3 Year(s) 0 Month(s)")</f>
        <v>3 Year(s) 0 Month(s)</v>
      </c>
      <c r="I13" s="4" t="str">
        <f>IFERROR(__xludf.DUMMYFUNCTION("""COMPUTED_VALUE"""),"Sify")</f>
        <v>Sify</v>
      </c>
      <c r="J13" s="4" t="str">
        <f>IFERROR(__xludf.DUMMYFUNCTION("""COMPUTED_VALUE"""),"Major Incident Manager")</f>
        <v>Major Incident Manager</v>
      </c>
      <c r="K13" s="4" t="str">
        <f>IFERROR(__xludf.DUMMYFUNCTION("""COMPUTED_VALUE"""),"Rs 2.50 Lakhs")</f>
        <v>Rs 2.50 Lakhs</v>
      </c>
      <c r="L13" s="4" t="str">
        <f>IFERROR(__xludf.DUMMYFUNCTION("""COMPUTED_VALUE"""),"15 Days or less")</f>
        <v>15 Days or less</v>
      </c>
      <c r="M13" s="4" t="str">
        <f>IFERROR(__xludf.DUMMYFUNCTION("""COMPUTED_VALUE"""),"Major Incident Manager | Incident Management | ITSM | ITIL | ServiceNow | AppDynamics | Zabbix | SolarWinds | PIR | MIR | SLA | RCA | Stakeholder Management | Bridge Call | Escalation Management | Problem Management | Change Management | Leadership")</f>
        <v>Major Incident Manager | Incident Management | ITSM | ITIL | ServiceNow | AppDynamics | Zabbix | SolarWinds | PIR | MIR | SLA | RCA | Stakeholder Management | Bridge Call | Escalation Management | Problem Management | Change Management | Leadership</v>
      </c>
      <c r="N13" s="4" t="str">
        <f>IFERROR(__xludf.DUMMYFUNCTION("""COMPUTED_VALUE"""),"B.Tech / B.E.")</f>
        <v>B.Tech / B.E.</v>
      </c>
      <c r="O13" s="4" t="str">
        <f>IFERROR(__xludf.DUMMYFUNCTION("""COMPUTED_VALUE"""),"Gita Autonomous College, Bhubaneswar")</f>
        <v>Gita Autonomous College, Bhubaneswar</v>
      </c>
      <c r="P13" s="4" t="str">
        <f>IFERROR(__xludf.DUMMYFUNCTION("""COMPUTED_VALUE"""),"NA")</f>
        <v>NA</v>
      </c>
      <c r="Q13" s="4" t="str">
        <f>IFERROR(__xludf.DUMMYFUNCTION("""COMPUTED_VALUE"""),"NA")</f>
        <v>NA</v>
      </c>
      <c r="R13" s="4" t="str">
        <f>IFERROR(__xludf.DUMMYFUNCTION("""COMPUTED_VALUE"""),"NA")</f>
        <v>NA</v>
      </c>
      <c r="S13" s="4" t="str">
        <f>IFERROR(__xludf.DUMMYFUNCTION("""COMPUTED_VALUE"""),"NA")</f>
        <v>NA</v>
      </c>
      <c r="T13" s="4" t="str">
        <f>IFERROR(__xludf.DUMMYFUNCTION("""COMPUTED_VALUE"""),"Female")</f>
        <v>Female</v>
      </c>
      <c r="U13" s="4" t="str">
        <f>IFERROR(__xludf.DUMMYFUNCTION("""COMPUTED_VALUE"""),"Bhubaneswar")</f>
        <v>Bhubaneswar</v>
      </c>
      <c r="V13" s="12">
        <f>IFERROR(__xludf.DUMMYFUNCTION("""COMPUTED_VALUE"""),37794.0)</f>
        <v>37794</v>
      </c>
      <c r="W13" s="4" t="str">
        <f>IFERROR(__xludf.DUMMYFUNCTION("""COMPUTED_VALUE"""),"Rejected")</f>
        <v>Rejected</v>
      </c>
      <c r="X13" s="4" t="str">
        <f>IFERROR(__xludf.DUMMYFUNCTION("""COMPUTED_VALUE"""),"Not Applicable - F")</f>
        <v>Not Applicable - F</v>
      </c>
      <c r="Y13" s="4" t="str">
        <f>IFERROR(__xludf.DUMMYFUNCTION("""COMPUTED_VALUE"""),"NA")</f>
        <v>NA</v>
      </c>
      <c r="Z13" s="4" t="str">
        <f>IFERROR(__xludf.DUMMYFUNCTION("""COMPUTED_VALUE"""),"NA")</f>
        <v>NA</v>
      </c>
      <c r="AA13" s="4" t="str">
        <f>IFERROR(__xludf.DUMMYFUNCTION("""COMPUTED_VALUE"""),"NA")</f>
        <v>NA</v>
      </c>
      <c r="AB13" s="4" t="str">
        <f>IFERROR(__xludf.DUMMYFUNCTION("""COMPUTED_VALUE"""),"NA")</f>
        <v>NA</v>
      </c>
      <c r="AC13" s="4" t="str">
        <f>IFERROR(__xludf.DUMMYFUNCTION("""COMPUTED_VALUE"""),"Itil")</f>
        <v>Itil</v>
      </c>
      <c r="AD13" s="4">
        <f>IFERROR(__xludf.DUMMYFUNCTION("""COMPUTED_VALUE"""),3.0)</f>
        <v>3</v>
      </c>
      <c r="AE13" s="4">
        <f>IFERROR(__xludf.DUMMYFUNCTION("""COMPUTED_VALUE"""),3.0)</f>
        <v>3</v>
      </c>
      <c r="AF13" s="4">
        <f>IFERROR(__xludf.DUMMYFUNCTION("""COMPUTED_VALUE"""),3.0)</f>
        <v>3</v>
      </c>
      <c r="AG13" s="4">
        <f>IFERROR(__xludf.DUMMYFUNCTION("""COMPUTED_VALUE"""),600000.0)</f>
        <v>600000</v>
      </c>
      <c r="AH13" s="4" t="str">
        <f>IFERROR(__xludf.DUMMYFUNCTION("""COMPUTED_VALUE"""),"15 Days or less")</f>
        <v>15 Days or less</v>
      </c>
      <c r="AI13" s="4" t="str">
        <f>IFERROR(__xludf.DUMMYFUNCTION("""COMPUTED_VALUE"""),"Yes")</f>
        <v>Yes</v>
      </c>
      <c r="AJ13" s="4">
        <f>IFERROR(__xludf.DUMMYFUNCTION("""COMPUTED_VALUE"""),250000.0)</f>
        <v>250000</v>
      </c>
      <c r="AK13" s="7" t="str">
        <f>IFERROR(__xludf.DUMMYFUNCTION("""COMPUTED_VALUE"""),"View profile")</f>
        <v>View profile</v>
      </c>
    </row>
    <row r="14">
      <c r="A14" s="4" t="str">
        <f>IFERROR(__xludf.DUMMYFUNCTION("""COMPUTED_VALUE"""),"TREND MICRO L2 Engineer")</f>
        <v>TREND MICRO L2 Engineer</v>
      </c>
      <c r="B14" s="6">
        <f>IFERROR(__xludf.DUMMYFUNCTION("""COMPUTED_VALUE"""),46268.0)</f>
        <v>46268</v>
      </c>
      <c r="C14" s="4" t="str">
        <f>IFERROR(__xludf.DUMMYFUNCTION("""COMPUTED_VALUE"""),"Omprakash Nath")</f>
        <v>Omprakash Nath</v>
      </c>
      <c r="D14" s="4" t="str">
        <f>IFERROR(__xludf.DUMMYFUNCTION("""COMPUTED_VALUE"""),"omprakashnath10@gmail.com")</f>
        <v>omprakashnath10@gmail.com</v>
      </c>
      <c r="E14" s="4">
        <f>IFERROR(__xludf.DUMMYFUNCTION("""COMPUTED_VALUE"""),6.372951969E9)</f>
        <v>6372951969</v>
      </c>
      <c r="F14" s="4" t="str">
        <f>IFERROR(__xludf.DUMMYFUNCTION("""COMPUTED_VALUE"""),"Gurugram")</f>
        <v>Gurugram</v>
      </c>
      <c r="G14" s="4" t="str">
        <f>IFERROR(__xludf.DUMMYFUNCTION("""COMPUTED_VALUE"""),"Delhi / NCR, Ahmedabad, Gurugram, New Delhi, Pune, Mumbai, Bengaluru, Noida, Hyderabad, Bhubaneswar")</f>
        <v>Delhi / NCR, Ahmedabad, Gurugram, New Delhi, Pune, Mumbai, Bengaluru, Noida, Hyderabad, Bhubaneswar</v>
      </c>
      <c r="H14" s="4" t="str">
        <f>IFERROR(__xludf.DUMMYFUNCTION("""COMPUTED_VALUE"""),"4 Year(s) 5 Month(s)")</f>
        <v>4 Year(s) 5 Month(s)</v>
      </c>
      <c r="I14" s="4" t="str">
        <f>IFERROR(__xludf.DUMMYFUNCTION("""COMPUTED_VALUE"""),"Sun Life Global Solutions")</f>
        <v>Sun Life Global Solutions</v>
      </c>
      <c r="J14" s="4" t="str">
        <f>IFERROR(__xludf.DUMMYFUNCTION("""COMPUTED_VALUE"""),"Application Support Engineer")</f>
        <v>Application Support Engineer</v>
      </c>
      <c r="K14" s="4" t="str">
        <f>IFERROR(__xludf.DUMMYFUNCTION("""COMPUTED_VALUE"""),"Rs 6.50 Lakhs")</f>
        <v>Rs 6.50 Lakhs</v>
      </c>
      <c r="L14" s="4" t="str">
        <f>IFERROR(__xludf.DUMMYFUNCTION("""COMPUTED_VALUE"""),"Serving Notice Period")</f>
        <v>Serving Notice Period</v>
      </c>
      <c r="M14" s="4" t="str">
        <f>IFERROR(__xludf.DUMMYFUNCTION("""COMPUTED_VALUE"""),"Experienced Production Support Engineer | Expertise in Unix/Oracle, SQL, PL/SQL | Proficient in L1/L2 Support &amp; Job Automation (AUTOSYS, Apache Airflow)")</f>
        <v>Experienced Production Support Engineer | Expertise in Unix/Oracle, SQL, PL/SQL | Proficient in L1/L2 Support &amp; Job Automation (AUTOSYS, Apache Airflow)</v>
      </c>
      <c r="N14" s="7" t="str">
        <f>IFERROR(__xludf.DUMMYFUNCTION("""COMPUTED_VALUE"""),"B.Sc")</f>
        <v>B.Sc</v>
      </c>
      <c r="O14" s="4" t="str">
        <f>IFERROR(__xludf.DUMMYFUNCTION("""COMPUTED_VALUE"""),"Utkal University")</f>
        <v>Utkal University</v>
      </c>
      <c r="P14" s="4" t="str">
        <f>IFERROR(__xludf.DUMMYFUNCTION("""COMPUTED_VALUE"""),"Computers")</f>
        <v>Computers</v>
      </c>
      <c r="Q14" s="4" t="str">
        <f>IFERROR(__xludf.DUMMYFUNCTION("""COMPUTED_VALUE"""),"KIIT University, Bhuvaneshwar")</f>
        <v>KIIT University, Bhuvaneshwar</v>
      </c>
      <c r="R14" s="4" t="str">
        <f>IFERROR(__xludf.DUMMYFUNCTION("""COMPUTED_VALUE"""),"NA")</f>
        <v>NA</v>
      </c>
      <c r="S14" s="4" t="str">
        <f>IFERROR(__xludf.DUMMYFUNCTION("""COMPUTED_VALUE"""),"NA")</f>
        <v>NA</v>
      </c>
      <c r="T14" s="4" t="str">
        <f>IFERROR(__xludf.DUMMYFUNCTION("""COMPUTED_VALUE"""),"Male")</f>
        <v>Male</v>
      </c>
      <c r="U14" s="4" t="str">
        <f>IFERROR(__xludf.DUMMYFUNCTION("""COMPUTED_VALUE"""),"bhadrak")</f>
        <v>bhadrak</v>
      </c>
      <c r="V14" s="12">
        <f>IFERROR(__xludf.DUMMYFUNCTION("""COMPUTED_VALUE"""),37125.0)</f>
        <v>37125</v>
      </c>
      <c r="W14" s="4" t="str">
        <f>IFERROR(__xludf.DUMMYFUNCTION("""COMPUTED_VALUE"""),"NA")</f>
        <v>NA</v>
      </c>
      <c r="X14" s="4" t="str">
        <f>IFERROR(__xludf.DUMMYFUNCTION("""COMPUTED_VALUE"""),"NA")</f>
        <v>NA</v>
      </c>
      <c r="Y14" s="4" t="str">
        <f>IFERROR(__xludf.DUMMYFUNCTION("""COMPUTED_VALUE"""),"NA")</f>
        <v>NA</v>
      </c>
      <c r="Z14" s="4" t="str">
        <f>IFERROR(__xludf.DUMMYFUNCTION("""COMPUTED_VALUE"""),"NA")</f>
        <v>NA</v>
      </c>
      <c r="AA14" s="4" t="str">
        <f>IFERROR(__xludf.DUMMYFUNCTION("""COMPUTED_VALUE"""),"NA")</f>
        <v>NA</v>
      </c>
      <c r="AB14" s="4" t="str">
        <f>IFERROR(__xludf.DUMMYFUNCTION("""COMPUTED_VALUE"""),"NA")</f>
        <v>NA</v>
      </c>
      <c r="AC14" s="4" t="str">
        <f>IFERROR(__xludf.DUMMYFUNCTION("""COMPUTED_VALUE"""),"Sql, Pl/Sql, Linux/Unix, ETL, Informatica Powercenter")</f>
        <v>Sql, Pl/Sql, Linux/Unix, ETL, Informatica Powercenter</v>
      </c>
      <c r="AD14" s="4" t="str">
        <f>IFERROR(__xludf.DUMMYFUNCTION("""COMPUTED_VALUE"""),"4.5 years")</f>
        <v>4.5 years</v>
      </c>
      <c r="AE14" s="4" t="str">
        <f>IFERROR(__xludf.DUMMYFUNCTION("""COMPUTED_VALUE"""),"4.5 years")</f>
        <v>4.5 years</v>
      </c>
      <c r="AF14" s="4" t="str">
        <f>IFERROR(__xludf.DUMMYFUNCTION("""COMPUTED_VALUE"""),"4.5 years")</f>
        <v>4.5 years</v>
      </c>
      <c r="AG14" s="4">
        <f>IFERROR(__xludf.DUMMYFUNCTION("""COMPUTED_VALUE"""),850000.0)</f>
        <v>850000</v>
      </c>
      <c r="AH14" s="4" t="str">
        <f>IFERROR(__xludf.DUMMYFUNCTION("""COMPUTED_VALUE"""),"Serving Notice Period")</f>
        <v>Serving Notice Period</v>
      </c>
      <c r="AI14" s="4" t="str">
        <f>IFERROR(__xludf.DUMMYFUNCTION("""COMPUTED_VALUE"""),"Yes")</f>
        <v>Yes</v>
      </c>
      <c r="AJ14" s="4">
        <f>IFERROR(__xludf.DUMMYFUNCTION("""COMPUTED_VALUE"""),650000.0)</f>
        <v>650000</v>
      </c>
      <c r="AK14" s="7" t="str">
        <f>IFERROR(__xludf.DUMMYFUNCTION("""COMPUTED_VALUE"""),"View profile")</f>
        <v>View profile</v>
      </c>
    </row>
    <row r="15">
      <c r="A15" s="4" t="str">
        <f>IFERROR(__xludf.DUMMYFUNCTION("""COMPUTED_VALUE"""),"TREND MICRO L2 Engineer")</f>
        <v>TREND MICRO L2 Engineer</v>
      </c>
      <c r="B15" s="6">
        <f>IFERROR(__xludf.DUMMYFUNCTION("""COMPUTED_VALUE"""),46268.0)</f>
        <v>46268</v>
      </c>
      <c r="C15" s="4" t="str">
        <f>IFERROR(__xludf.DUMMYFUNCTION("""COMPUTED_VALUE"""),"Gandikota Venkateswararao")</f>
        <v>Gandikota Venkateswararao</v>
      </c>
      <c r="D15" s="4" t="str">
        <f>IFERROR(__xludf.DUMMYFUNCTION("""COMPUTED_VALUE"""),"gandikotavenkateswararao22@gmail.com")</f>
        <v>gandikotavenkateswararao22@gmail.com</v>
      </c>
      <c r="E15" s="4">
        <f>IFERROR(__xludf.DUMMYFUNCTION("""COMPUTED_VALUE"""),7.396833242E9)</f>
        <v>7396833242</v>
      </c>
      <c r="F15" s="4" t="str">
        <f>IFERROR(__xludf.DUMMYFUNCTION("""COMPUTED_VALUE"""),"Bengaluru")</f>
        <v>Bengaluru</v>
      </c>
      <c r="G15" s="4" t="str">
        <f>IFERROR(__xludf.DUMMYFUNCTION("""COMPUTED_VALUE"""),"Bengaluru, Pune, Hyderabad, Mumbai, Kolkata, Chennai, Noida, Ahmedabad, Gurugram, Delhi / NCR")</f>
        <v>Bengaluru, Pune, Hyderabad, Mumbai, Kolkata, Chennai, Noida, Ahmedabad, Gurugram, Delhi / NCR</v>
      </c>
      <c r="H15" s="4" t="str">
        <f>IFERROR(__xludf.DUMMYFUNCTION("""COMPUTED_VALUE"""),"3 Year(s) 0 Month(s)")</f>
        <v>3 Year(s) 0 Month(s)</v>
      </c>
      <c r="I15" s="4" t="str">
        <f>IFERROR(__xludf.DUMMYFUNCTION("""COMPUTED_VALUE"""),"IBM")</f>
        <v>IBM</v>
      </c>
      <c r="J15" s="4" t="str">
        <f>IFERROR(__xludf.DUMMYFUNCTION("""COMPUTED_VALUE"""),"Infrastructure Support &amp; Monitoring Engineer")</f>
        <v>Infrastructure Support &amp; Monitoring Engineer</v>
      </c>
      <c r="K15" s="4" t="str">
        <f>IFERROR(__xludf.DUMMYFUNCTION("""COMPUTED_VALUE"""),"Rs 4.50 Lakhs")</f>
        <v>Rs 4.50 Lakhs</v>
      </c>
      <c r="L15" s="4" t="str">
        <f>IFERROR(__xludf.DUMMYFUNCTION("""COMPUTED_VALUE"""),"15 Days or less")</f>
        <v>15 Days or less</v>
      </c>
      <c r="M15" s="4" t="str">
        <f>IFERROR(__xludf.DUMMYFUNCTION("""COMPUTED_VALUE"""),"Infrastructure Support &amp; Monitoring Engineer | 3 Years Experience | NOC Operations | Windows &amp; Linux | Dynatrace | Azure Monitor | AWS CloudWatch")</f>
        <v>Infrastructure Support &amp; Monitoring Engineer | 3 Years Experience | NOC Operations | Windows &amp; Linux | Dynatrace | Azure Monitor | AWS CloudWatch</v>
      </c>
      <c r="N15" s="7" t="str">
        <f>IFERROR(__xludf.DUMMYFUNCTION("""COMPUTED_VALUE"""),"B.Sc")</f>
        <v>B.Sc</v>
      </c>
      <c r="O15" s="4" t="str">
        <f>IFERROR(__xludf.DUMMYFUNCTION("""COMPUTED_VALUE"""),"Akkineni Nageswara Rao College, Krishna")</f>
        <v>Akkineni Nageswara Rao College, Krishna</v>
      </c>
      <c r="P15" s="4" t="str">
        <f>IFERROR(__xludf.DUMMYFUNCTION("""COMPUTED_VALUE"""),"NA")</f>
        <v>NA</v>
      </c>
      <c r="Q15" s="4" t="str">
        <f>IFERROR(__xludf.DUMMYFUNCTION("""COMPUTED_VALUE"""),"NA")</f>
        <v>NA</v>
      </c>
      <c r="R15" s="4" t="str">
        <f>IFERROR(__xludf.DUMMYFUNCTION("""COMPUTED_VALUE"""),"NA")</f>
        <v>NA</v>
      </c>
      <c r="S15" s="4" t="str">
        <f>IFERROR(__xludf.DUMMYFUNCTION("""COMPUTED_VALUE"""),"NA")</f>
        <v>NA</v>
      </c>
      <c r="T15" s="4" t="str">
        <f>IFERROR(__xludf.DUMMYFUNCTION("""COMPUTED_VALUE"""),"Male")</f>
        <v>Male</v>
      </c>
      <c r="U15" s="4" t="str">
        <f>IFERROR(__xludf.DUMMYFUNCTION("""COMPUTED_VALUE"""),"gudlavalleru")</f>
        <v>gudlavalleru</v>
      </c>
      <c r="V15" s="12">
        <f>IFERROR(__xludf.DUMMYFUNCTION("""COMPUTED_VALUE"""),37521.0)</f>
        <v>37521</v>
      </c>
      <c r="W15" s="4" t="str">
        <f>IFERROR(__xludf.DUMMYFUNCTION("""COMPUTED_VALUE"""),"NA")</f>
        <v>NA</v>
      </c>
      <c r="X15" s="4" t="str">
        <f>IFERROR(__xludf.DUMMYFUNCTION("""COMPUTED_VALUE"""),"NA")</f>
        <v>NA</v>
      </c>
      <c r="Y15" s="4" t="str">
        <f>IFERROR(__xludf.DUMMYFUNCTION("""COMPUTED_VALUE"""),"NA")</f>
        <v>NA</v>
      </c>
      <c r="Z15" s="4" t="str">
        <f>IFERROR(__xludf.DUMMYFUNCTION("""COMPUTED_VALUE"""),"NA")</f>
        <v>NA</v>
      </c>
      <c r="AA15" s="4" t="str">
        <f>IFERROR(__xludf.DUMMYFUNCTION("""COMPUTED_VALUE"""),"NA")</f>
        <v>NA</v>
      </c>
      <c r="AB15" s="4" t="str">
        <f>IFERROR(__xludf.DUMMYFUNCTION("""COMPUTED_VALUE"""),"NA")</f>
        <v>NA</v>
      </c>
      <c r="AC15" s="4" t="str">
        <f>IFERROR(__xludf.DUMMYFUNCTION("""COMPUTED_VALUE"""),"so many")</f>
        <v>so many</v>
      </c>
      <c r="AD15" s="4">
        <f>IFERROR(__xludf.DUMMYFUNCTION("""COMPUTED_VALUE"""),3.0)</f>
        <v>3</v>
      </c>
      <c r="AE15" s="4">
        <f>IFERROR(__xludf.DUMMYFUNCTION("""COMPUTED_VALUE"""),3.0)</f>
        <v>3</v>
      </c>
      <c r="AF15" s="4">
        <f>IFERROR(__xludf.DUMMYFUNCTION("""COMPUTED_VALUE"""),3.0)</f>
        <v>3</v>
      </c>
      <c r="AG15" s="4">
        <f>IFERROR(__xludf.DUMMYFUNCTION("""COMPUTED_VALUE"""),450000.0)</f>
        <v>450000</v>
      </c>
      <c r="AH15" s="4" t="str">
        <f>IFERROR(__xludf.DUMMYFUNCTION("""COMPUTED_VALUE"""),"15 Days or less")</f>
        <v>15 Days or less</v>
      </c>
      <c r="AI15" s="4" t="str">
        <f>IFERROR(__xludf.DUMMYFUNCTION("""COMPUTED_VALUE"""),"Yes")</f>
        <v>Yes</v>
      </c>
      <c r="AJ15" s="4">
        <f>IFERROR(__xludf.DUMMYFUNCTION("""COMPUTED_VALUE"""),450000.0)</f>
        <v>450000</v>
      </c>
      <c r="AK15" s="7" t="str">
        <f>IFERROR(__xludf.DUMMYFUNCTION("""COMPUTED_VALUE"""),"View profile")</f>
        <v>View profile</v>
      </c>
    </row>
    <row r="16">
      <c r="A16" s="4" t="str">
        <f>IFERROR(__xludf.DUMMYFUNCTION("""COMPUTED_VALUE"""),"TREND MICRO L2 Engineer")</f>
        <v>TREND MICRO L2 Engineer</v>
      </c>
      <c r="B16" s="6">
        <f>IFERROR(__xludf.DUMMYFUNCTION("""COMPUTED_VALUE"""),46268.0)</f>
        <v>46268</v>
      </c>
      <c r="C16" s="4" t="str">
        <f>IFERROR(__xludf.DUMMYFUNCTION("""COMPUTED_VALUE"""),"KIRAN KUMAR AVUSULA")</f>
        <v>KIRAN KUMAR AVUSULA</v>
      </c>
      <c r="D16" s="4" t="str">
        <f>IFERROR(__xludf.DUMMYFUNCTION("""COMPUTED_VALUE"""),"kirankumaravusula9@gmail.com")</f>
        <v>kirankumaravusula9@gmail.com</v>
      </c>
      <c r="E16" s="4">
        <f>IFERROR(__xludf.DUMMYFUNCTION("""COMPUTED_VALUE"""),7.41698499E9)</f>
        <v>7416984990</v>
      </c>
      <c r="F16" s="4" t="str">
        <f>IFERROR(__xludf.DUMMYFUNCTION("""COMPUTED_VALUE"""),"Noida")</f>
        <v>Noida</v>
      </c>
      <c r="G16" s="4" t="str">
        <f>IFERROR(__xludf.DUMMYFUNCTION("""COMPUTED_VALUE"""),"Bengaluru, Hyderabad, Chennai, Pune, Noida, Ahmedabad, Gurugram, Kolkata, Mumbai, Delhi / NCR")</f>
        <v>Bengaluru, Hyderabad, Chennai, Pune, Noida, Ahmedabad, Gurugram, Kolkata, Mumbai, Delhi / NCR</v>
      </c>
      <c r="H16" s="4" t="str">
        <f>IFERROR(__xludf.DUMMYFUNCTION("""COMPUTED_VALUE"""),"3 Year(s) 9 Month(s)")</f>
        <v>3 Year(s) 9 Month(s)</v>
      </c>
      <c r="I16" s="4" t="str">
        <f>IFERROR(__xludf.DUMMYFUNCTION("""COMPUTED_VALUE"""),"Deloitte")</f>
        <v>Deloitte</v>
      </c>
      <c r="J16" s="4" t="str">
        <f>IFERROR(__xludf.DUMMYFUNCTION("""COMPUTED_VALUE"""),"Security Analyst")</f>
        <v>Security Analyst</v>
      </c>
      <c r="K16" s="4" t="str">
        <f>IFERROR(__xludf.DUMMYFUNCTION("""COMPUTED_VALUE"""),"Rs 5.20 Lakhs")</f>
        <v>Rs 5.20 Lakhs</v>
      </c>
      <c r="L16" s="4" t="str">
        <f>IFERROR(__xludf.DUMMYFUNCTION("""COMPUTED_VALUE"""),"15 Days or less")</f>
        <v>15 Days or less</v>
      </c>
      <c r="M16" s="4" t="str">
        <f>IFERROR(__xludf.DUMMYFUNCTION("""COMPUTED_VALUE"""),"Security Analyst with 4 years of experience in Security Operations Centre (SOC), Incident Response, Threat Hunting, Detection Engineering, and Endpoint Security. Proficient in Microsoft Sentinel, Defender XDR, Intune, KQL, SPL, Conditional Access.")</f>
        <v>Security Analyst with 4 years of experience in Security Operations Centre (SOC), Incident Response, Threat Hunting, Detection Engineering, and Endpoint Security. Proficient in Microsoft Sentinel, Defender XDR, Intune, KQL, SPL, Conditional Access.</v>
      </c>
      <c r="N16" s="4" t="str">
        <f>IFERROR(__xludf.DUMMYFUNCTION("""COMPUTED_VALUE"""),"B.B.A. / B.M.S.")</f>
        <v>B.B.A. / B.M.S.</v>
      </c>
      <c r="O16" s="4" t="str">
        <f>IFERROR(__xludf.DUMMYFUNCTION("""COMPUTED_VALUE"""),"Osmania University, Hyderabad")</f>
        <v>Osmania University, Hyderabad</v>
      </c>
      <c r="P16" s="4" t="str">
        <f>IFERROR(__xludf.DUMMYFUNCTION("""COMPUTED_VALUE"""),"NA")</f>
        <v>NA</v>
      </c>
      <c r="Q16" s="4" t="str">
        <f>IFERROR(__xludf.DUMMYFUNCTION("""COMPUTED_VALUE"""),"NA")</f>
        <v>NA</v>
      </c>
      <c r="R16" s="4" t="str">
        <f>IFERROR(__xludf.DUMMYFUNCTION("""COMPUTED_VALUE"""),"NA")</f>
        <v>NA</v>
      </c>
      <c r="S16" s="4" t="str">
        <f>IFERROR(__xludf.DUMMYFUNCTION("""COMPUTED_VALUE"""),"NA")</f>
        <v>NA</v>
      </c>
      <c r="T16" s="4" t="str">
        <f>IFERROR(__xludf.DUMMYFUNCTION("""COMPUTED_VALUE"""),"Male")</f>
        <v>Male</v>
      </c>
      <c r="U16" s="4" t="str">
        <f>IFERROR(__xludf.DUMMYFUNCTION("""COMPUTED_VALUE"""),"NA")</f>
        <v>NA</v>
      </c>
      <c r="V16" s="6">
        <f>IFERROR(__xludf.DUMMYFUNCTION("""COMPUTED_VALUE"""),36534.0)</f>
        <v>36534</v>
      </c>
      <c r="W16" s="4" t="str">
        <f>IFERROR(__xludf.DUMMYFUNCTION("""COMPUTED_VALUE"""),"NA")</f>
        <v>NA</v>
      </c>
      <c r="X16" s="4" t="str">
        <f>IFERROR(__xludf.DUMMYFUNCTION("""COMPUTED_VALUE"""),"NA")</f>
        <v>NA</v>
      </c>
      <c r="Y16" s="4" t="str">
        <f>IFERROR(__xludf.DUMMYFUNCTION("""COMPUTED_VALUE"""),"NA")</f>
        <v>NA</v>
      </c>
      <c r="Z16" s="4" t="str">
        <f>IFERROR(__xludf.DUMMYFUNCTION("""COMPUTED_VALUE"""),"NA")</f>
        <v>NA</v>
      </c>
      <c r="AA16" s="4" t="str">
        <f>IFERROR(__xludf.DUMMYFUNCTION("""COMPUTED_VALUE"""),"NA")</f>
        <v>NA</v>
      </c>
      <c r="AB16" s="4" t="str">
        <f>IFERROR(__xludf.DUMMYFUNCTION("""COMPUTED_VALUE"""),"NA")</f>
        <v>NA</v>
      </c>
      <c r="AC16" s="4" t="str">
        <f>IFERROR(__xludf.DUMMYFUNCTION("""COMPUTED_VALUE"""),"sentinel, kql, defender, trendmicro, email security")</f>
        <v>sentinel, kql, defender, trendmicro, email security</v>
      </c>
      <c r="AD16" s="4">
        <f>IFERROR(__xludf.DUMMYFUNCTION("""COMPUTED_VALUE"""),4.0)</f>
        <v>4</v>
      </c>
      <c r="AE16" s="4">
        <f>IFERROR(__xludf.DUMMYFUNCTION("""COMPUTED_VALUE"""),4.0)</f>
        <v>4</v>
      </c>
      <c r="AF16" s="4">
        <f>IFERROR(__xludf.DUMMYFUNCTION("""COMPUTED_VALUE"""),4.0)</f>
        <v>4</v>
      </c>
      <c r="AG16" s="4">
        <f>IFERROR(__xludf.DUMMYFUNCTION("""COMPUTED_VALUE"""),750000.0)</f>
        <v>750000</v>
      </c>
      <c r="AH16" s="4" t="str">
        <f>IFERROR(__xludf.DUMMYFUNCTION("""COMPUTED_VALUE"""),"15 Days or less")</f>
        <v>15 Days or less</v>
      </c>
      <c r="AI16" s="4" t="str">
        <f>IFERROR(__xludf.DUMMYFUNCTION("""COMPUTED_VALUE"""),"Yes")</f>
        <v>Yes</v>
      </c>
      <c r="AJ16" s="4">
        <f>IFERROR(__xludf.DUMMYFUNCTION("""COMPUTED_VALUE"""),520000.0)</f>
        <v>520000</v>
      </c>
      <c r="AK16" s="7" t="str">
        <f>IFERROR(__xludf.DUMMYFUNCTION("""COMPUTED_VALUE"""),"View profile")</f>
        <v>View profile</v>
      </c>
    </row>
    <row r="17">
      <c r="A17" s="4" t="str">
        <f>IFERROR(__xludf.DUMMYFUNCTION("""COMPUTED_VALUE"""),"TREND MICRO L2 Engineer")</f>
        <v>TREND MICRO L2 Engineer</v>
      </c>
      <c r="B17" s="6">
        <f>IFERROR(__xludf.DUMMYFUNCTION("""COMPUTED_VALUE"""),46268.0)</f>
        <v>46268</v>
      </c>
      <c r="C17" s="4" t="str">
        <f>IFERROR(__xludf.DUMMYFUNCTION("""COMPUTED_VALUE"""),"Vaibhav Rajaram Todkar")</f>
        <v>Vaibhav Rajaram Todkar</v>
      </c>
      <c r="D17" s="4" t="str">
        <f>IFERROR(__xludf.DUMMYFUNCTION("""COMPUTED_VALUE"""),"vaibhavtodkar010@gmail.com")</f>
        <v>vaibhavtodkar010@gmail.com</v>
      </c>
      <c r="E17" s="4">
        <f>IFERROR(__xludf.DUMMYFUNCTION("""COMPUTED_VALUE"""),7.083174241E9)</f>
        <v>7083174241</v>
      </c>
      <c r="F17" s="4" t="str">
        <f>IFERROR(__xludf.DUMMYFUNCTION("""COMPUTED_VALUE"""),"Navi Mumbai")</f>
        <v>Navi Mumbai</v>
      </c>
      <c r="G17" s="4" t="str">
        <f>IFERROR(__xludf.DUMMYFUNCTION("""COMPUTED_VALUE"""),"Mumbai (All Areas), Mumbai, Pune, Remote")</f>
        <v>Mumbai (All Areas), Mumbai, Pune, Remote</v>
      </c>
      <c r="H17" s="4" t="str">
        <f>IFERROR(__xludf.DUMMYFUNCTION("""COMPUTED_VALUE"""),"3 Year(s) 3 Month(s)")</f>
        <v>3 Year(s) 3 Month(s)</v>
      </c>
      <c r="I17" s="4" t="str">
        <f>IFERROR(__xludf.DUMMYFUNCTION("""COMPUTED_VALUE"""),"Inspira Enterprise India")</f>
        <v>Inspira Enterprise India</v>
      </c>
      <c r="J17" s="4" t="str">
        <f>IFERROR(__xludf.DUMMYFUNCTION("""COMPUTED_VALUE"""),"Information Security Analyst")</f>
        <v>Information Security Analyst</v>
      </c>
      <c r="K17" s="4" t="str">
        <f>IFERROR(__xludf.DUMMYFUNCTION("""COMPUTED_VALUE"""),"Rs 5.50 Lakhs")</f>
        <v>Rs 5.50 Lakhs</v>
      </c>
      <c r="L17" s="4" t="str">
        <f>IFERROR(__xludf.DUMMYFUNCTION("""COMPUTED_VALUE"""),"Serving Notice Period")</f>
        <v>Serving Notice Period</v>
      </c>
      <c r="M17" s="4" t="str">
        <f>IFERROR(__xludf.DUMMYFUNCTION("""COMPUTED_VALUE"""),"Information Security Analyst 3 Years SOC Experience Splunk ,SIEM ,EDR ,Security Monitoring,Threat Detection ,Incident Response , Incident Management , Log Analysis ,Threat Analysis , Network Security ,Endpoint Security, Phishing &amp; Malwar")</f>
        <v>Information Security Analyst 3 Years SOC Experience Splunk ,SIEM ,EDR ,Security Monitoring,Threat Detection ,Incident Response , Incident Management , Log Analysis ,Threat Analysis , Network Security ,Endpoint Security, Phishing &amp; Malwar</v>
      </c>
      <c r="N17" s="7" t="str">
        <f>IFERROR(__xludf.DUMMYFUNCTION("""COMPUTED_VALUE"""),"B.Sc")</f>
        <v>B.Sc</v>
      </c>
      <c r="O17" s="4" t="str">
        <f>IFERROR(__xludf.DUMMYFUNCTION("""COMPUTED_VALUE"""),"Ch Shivaji University, Maharashtra kolhapur")</f>
        <v>Ch Shivaji University, Maharashtra kolhapur</v>
      </c>
      <c r="P17" s="4" t="str">
        <f>IFERROR(__xludf.DUMMYFUNCTION("""COMPUTED_VALUE"""),"Computers")</f>
        <v>Computers</v>
      </c>
      <c r="Q17" s="4" t="str">
        <f>IFERROR(__xludf.DUMMYFUNCTION("""COMPUTED_VALUE"""),"Dr. D.Y. Patil Institute of Technology")</f>
        <v>Dr. D.Y. Patil Institute of Technology</v>
      </c>
      <c r="R17" s="4" t="str">
        <f>IFERROR(__xludf.DUMMYFUNCTION("""COMPUTED_VALUE"""),"NA")</f>
        <v>NA</v>
      </c>
      <c r="S17" s="4" t="str">
        <f>IFERROR(__xludf.DUMMYFUNCTION("""COMPUTED_VALUE"""),"NA")</f>
        <v>NA</v>
      </c>
      <c r="T17" s="4" t="str">
        <f>IFERROR(__xludf.DUMMYFUNCTION("""COMPUTED_VALUE"""),"Male")</f>
        <v>Male</v>
      </c>
      <c r="U17" s="4" t="str">
        <f>IFERROR(__xludf.DUMMYFUNCTION("""COMPUTED_VALUE"""),"NA")</f>
        <v>NA</v>
      </c>
      <c r="V17" s="6">
        <f>IFERROR(__xludf.DUMMYFUNCTION("""COMPUTED_VALUE"""),37143.0)</f>
        <v>37143</v>
      </c>
      <c r="W17" s="4" t="str">
        <f>IFERROR(__xludf.DUMMYFUNCTION("""COMPUTED_VALUE"""),"Maybe")</f>
        <v>Maybe</v>
      </c>
      <c r="X17" s="4" t="str">
        <f>IFERROR(__xludf.DUMMYFUNCTION("""COMPUTED_VALUE"""),"Edu: BSc, 2022 - MCA,2024
Current Location: Navi Mumbai
Hometown: Navi Mumbai
Total Exp : 3.3 yrs
Current CTC: 5.5LPA
Expected CTC: Holding offer of 7.5LPA , 8LPA Negotiable
Notice period: 10Sep'26
Certificate: Yes")</f>
        <v>Edu: BSc, 2022 - MCA,2024
Current Location: Navi Mumbai
Hometown: Navi Mumbai
Total Exp : 3.3 yrs
Current CTC: 5.5LPA
Expected CTC: Holding offer of 7.5LPA , 8LPA Negotiable
Notice period: 10Sep'26
Certificate: Yes</v>
      </c>
      <c r="Y17" s="4" t="str">
        <f>IFERROR(__xludf.DUMMYFUNCTION("""COMPUTED_VALUE"""),"Profile shared with Vipul Sir on 3rd September via email")</f>
        <v>Profile shared with Vipul Sir on 3rd September via email</v>
      </c>
      <c r="Z17" s="4" t="str">
        <f>IFERROR(__xludf.DUMMYFUNCTION("""COMPUTED_VALUE"""),"NA")</f>
        <v>NA</v>
      </c>
      <c r="AA17" s="4" t="str">
        <f>IFERROR(__xludf.DUMMYFUNCTION("""COMPUTED_VALUE"""),"NA")</f>
        <v>NA</v>
      </c>
      <c r="AB17" s="4" t="str">
        <f>IFERROR(__xludf.DUMMYFUNCTION("""COMPUTED_VALUE"""),"NA")</f>
        <v>NA</v>
      </c>
      <c r="AC17" s="4" t="str">
        <f>IFERROR(__xludf.DUMMYFUNCTION("""COMPUTED_VALUE"""),"Edr Siem Splunk AD")</f>
        <v>Edr Siem Splunk AD</v>
      </c>
      <c r="AD17" s="4">
        <f>IFERROR(__xludf.DUMMYFUNCTION("""COMPUTED_VALUE"""),3.0)</f>
        <v>3</v>
      </c>
      <c r="AE17" s="4">
        <f>IFERROR(__xludf.DUMMYFUNCTION("""COMPUTED_VALUE"""),3.0)</f>
        <v>3</v>
      </c>
      <c r="AF17" s="4">
        <f>IFERROR(__xludf.DUMMYFUNCTION("""COMPUTED_VALUE"""),3.0)</f>
        <v>3</v>
      </c>
      <c r="AG17" s="4">
        <f>IFERROR(__xludf.DUMMYFUNCTION("""COMPUTED_VALUE"""),0.0)</f>
        <v>0</v>
      </c>
      <c r="AH17" s="4" t="str">
        <f>IFERROR(__xludf.DUMMYFUNCTION("""COMPUTED_VALUE"""),"Serving Notice Period")</f>
        <v>Serving Notice Period</v>
      </c>
      <c r="AI17" s="4" t="str">
        <f>IFERROR(__xludf.DUMMYFUNCTION("""COMPUTED_VALUE"""),"Yes")</f>
        <v>Yes</v>
      </c>
      <c r="AJ17" s="4">
        <f>IFERROR(__xludf.DUMMYFUNCTION("""COMPUTED_VALUE"""),550000.0)</f>
        <v>550000</v>
      </c>
      <c r="AK17" s="7" t="str">
        <f>IFERROR(__xludf.DUMMYFUNCTION("""COMPUTED_VALUE"""),"View profile")</f>
        <v>View profile</v>
      </c>
    </row>
    <row r="18">
      <c r="A18" s="4" t="str">
        <f>IFERROR(__xludf.DUMMYFUNCTION("""COMPUTED_VALUE"""),"TREND MICRO L2 Engineer")</f>
        <v>TREND MICRO L2 Engineer</v>
      </c>
      <c r="B18" s="6">
        <f>IFERROR(__xludf.DUMMYFUNCTION("""COMPUTED_VALUE"""),46268.0)</f>
        <v>46268</v>
      </c>
      <c r="C18" s="4" t="str">
        <f>IFERROR(__xludf.DUMMYFUNCTION("""COMPUTED_VALUE"""),"Rupesh Ravindra Kudalkar")</f>
        <v>Rupesh Ravindra Kudalkar</v>
      </c>
      <c r="D18" s="4" t="str">
        <f>IFERROR(__xludf.DUMMYFUNCTION("""COMPUTED_VALUE"""),"rupeshkudalkar2000@gmail.com")</f>
        <v>rupeshkudalkar2000@gmail.com</v>
      </c>
      <c r="E18" s="4">
        <f>IFERROR(__xludf.DUMMYFUNCTION("""COMPUTED_VALUE"""),9.881447207E9)</f>
        <v>9881447207</v>
      </c>
      <c r="F18" s="4" t="str">
        <f>IFERROR(__xludf.DUMMYFUNCTION("""COMPUTED_VALUE"""),"Pune")</f>
        <v>Pune</v>
      </c>
      <c r="G18" s="4" t="str">
        <f>IFERROR(__xludf.DUMMYFUNCTION("""COMPUTED_VALUE"""),"Pune")</f>
        <v>Pune</v>
      </c>
      <c r="H18" s="4" t="str">
        <f>IFERROR(__xludf.DUMMYFUNCTION("""COMPUTED_VALUE"""),"2 Year(s) 9 Month(s)")</f>
        <v>2 Year(s) 9 Month(s)</v>
      </c>
      <c r="I18" s="4" t="str">
        <f>IFERROR(__xludf.DUMMYFUNCTION("""COMPUTED_VALUE"""),"Raygain Technologies")</f>
        <v>Raygain Technologies</v>
      </c>
      <c r="J18" s="4" t="str">
        <f>IFERROR(__xludf.DUMMYFUNCTION("""COMPUTED_VALUE"""),"SOC Analyst")</f>
        <v>SOC Analyst</v>
      </c>
      <c r="K18" s="4" t="str">
        <f>IFERROR(__xludf.DUMMYFUNCTION("""COMPUTED_VALUE"""),"Rs 5 Lakhs")</f>
        <v>Rs 5 Lakhs</v>
      </c>
      <c r="L18" s="4" t="str">
        <f>IFERROR(__xludf.DUMMYFUNCTION("""COMPUTED_VALUE"""),"1 Months")</f>
        <v>1 Months</v>
      </c>
      <c r="M18" s="4" t="str">
        <f>IFERROR(__xludf.DUMMYFUNCTION("""COMPUTED_VALUE"""),"SOC Analyst | Threat Detection &amp; Incident Response | Security Monitoring | Incident Investigation | Alert Analysis |")</f>
        <v>SOC Analyst | Threat Detection &amp; Incident Response | Security Monitoring | Incident Investigation | Alert Analysis |</v>
      </c>
      <c r="N18" s="7" t="str">
        <f>IFERROR(__xludf.DUMMYFUNCTION("""COMPUTED_VALUE"""),"B.Sc")</f>
        <v>B.Sc</v>
      </c>
      <c r="O18" s="4" t="str">
        <f>IFERROR(__xludf.DUMMYFUNCTION("""COMPUTED_VALUE"""),"Shivaji University, Kolhapur")</f>
        <v>Shivaji University, Kolhapur</v>
      </c>
      <c r="P18" s="4" t="str">
        <f>IFERROR(__xludf.DUMMYFUNCTION("""COMPUTED_VALUE"""),"Cyber Security Engineering")</f>
        <v>Cyber Security Engineering</v>
      </c>
      <c r="Q18" s="4" t="str">
        <f>IFERROR(__xludf.DUMMYFUNCTION("""COMPUTED_VALUE"""),"Chh Shahu Central Institute of Business Education &amp; Research, Kolhapur")</f>
        <v>Chh Shahu Central Institute of Business Education &amp; Research, Kolhapur</v>
      </c>
      <c r="R18" s="4" t="str">
        <f>IFERROR(__xludf.DUMMYFUNCTION("""COMPUTED_VALUE"""),"NA")</f>
        <v>NA</v>
      </c>
      <c r="S18" s="4" t="str">
        <f>IFERROR(__xludf.DUMMYFUNCTION("""COMPUTED_VALUE"""),"NA")</f>
        <v>NA</v>
      </c>
      <c r="T18" s="4" t="str">
        <f>IFERROR(__xludf.DUMMYFUNCTION("""COMPUTED_VALUE"""),"Male")</f>
        <v>Male</v>
      </c>
      <c r="U18" s="4" t="str">
        <f>IFERROR(__xludf.DUMMYFUNCTION("""COMPUTED_VALUE"""),"kolhapur")</f>
        <v>kolhapur</v>
      </c>
      <c r="V18" s="12">
        <f>IFERROR(__xludf.DUMMYFUNCTION("""COMPUTED_VALUE"""),36873.0)</f>
        <v>36873</v>
      </c>
      <c r="W18" s="4" t="str">
        <f>IFERROR(__xludf.DUMMYFUNCTION("""COMPUTED_VALUE"""),"NA")</f>
        <v>NA</v>
      </c>
      <c r="X18" s="4" t="str">
        <f>IFERROR(__xludf.DUMMYFUNCTION("""COMPUTED_VALUE"""),"NA")</f>
        <v>NA</v>
      </c>
      <c r="Y18" s="4" t="str">
        <f>IFERROR(__xludf.DUMMYFUNCTION("""COMPUTED_VALUE"""),"NA")</f>
        <v>NA</v>
      </c>
      <c r="Z18" s="4" t="str">
        <f>IFERROR(__xludf.DUMMYFUNCTION("""COMPUTED_VALUE"""),"NA")</f>
        <v>NA</v>
      </c>
      <c r="AA18" s="4" t="str">
        <f>IFERROR(__xludf.DUMMYFUNCTION("""COMPUTED_VALUE"""),"NA")</f>
        <v>NA</v>
      </c>
      <c r="AB18" s="4" t="str">
        <f>IFERROR(__xludf.DUMMYFUNCTION("""COMPUTED_VALUE"""),"NA")</f>
        <v>NA</v>
      </c>
      <c r="AC18" s="4" t="str">
        <f>IFERROR(__xludf.DUMMYFUNCTION("""COMPUTED_VALUE"""),"Incident response")</f>
        <v>Incident response</v>
      </c>
      <c r="AD18" s="4" t="str">
        <f>IFERROR(__xludf.DUMMYFUNCTION("""COMPUTED_VALUE"""),"No")</f>
        <v>No</v>
      </c>
      <c r="AE18" s="4" t="str">
        <f>IFERROR(__xludf.DUMMYFUNCTION("""COMPUTED_VALUE"""),"No")</f>
        <v>No</v>
      </c>
      <c r="AF18" s="4" t="str">
        <f>IFERROR(__xludf.DUMMYFUNCTION("""COMPUTED_VALUE"""),"No")</f>
        <v>No</v>
      </c>
      <c r="AG18" s="4">
        <f>IFERROR(__xludf.DUMMYFUNCTION("""COMPUTED_VALUE"""),550000.0)</f>
        <v>550000</v>
      </c>
      <c r="AH18" s="4" t="str">
        <f>IFERROR(__xludf.DUMMYFUNCTION("""COMPUTED_VALUE"""),"1 Month")</f>
        <v>1 Month</v>
      </c>
      <c r="AI18" s="4" t="str">
        <f>IFERROR(__xludf.DUMMYFUNCTION("""COMPUTED_VALUE"""),"Yes")</f>
        <v>Yes</v>
      </c>
      <c r="AJ18" s="4">
        <f>IFERROR(__xludf.DUMMYFUNCTION("""COMPUTED_VALUE"""),500000.0)</f>
        <v>500000</v>
      </c>
      <c r="AK18" s="7" t="str">
        <f>IFERROR(__xludf.DUMMYFUNCTION("""COMPUTED_VALUE"""),"View profile")</f>
        <v>View profile</v>
      </c>
    </row>
    <row r="19">
      <c r="A19" s="4" t="str">
        <f>IFERROR(__xludf.DUMMYFUNCTION("""COMPUTED_VALUE"""),"TREND MICRO L2 Engineer")</f>
        <v>TREND MICRO L2 Engineer</v>
      </c>
      <c r="B19" s="6">
        <f>IFERROR(__xludf.DUMMYFUNCTION("""COMPUTED_VALUE"""),46268.0)</f>
        <v>46268</v>
      </c>
      <c r="C19" s="4" t="str">
        <f>IFERROR(__xludf.DUMMYFUNCTION("""COMPUTED_VALUE"""),"Saikaran Shashank Kondekar")</f>
        <v>Saikaran Shashank Kondekar</v>
      </c>
      <c r="D19" s="4" t="str">
        <f>IFERROR(__xludf.DUMMYFUNCTION("""COMPUTED_VALUE"""),"saikarankondekar7027@gmail.com, saikarankondekar7027@gmail.com")</f>
        <v>saikarankondekar7027@gmail.com, saikarankondekar7027@gmail.com</v>
      </c>
      <c r="E19" s="4">
        <f>IFERROR(__xludf.DUMMYFUNCTION("""COMPUTED_VALUE"""),9.970377027E9)</f>
        <v>9970377027</v>
      </c>
      <c r="F19" s="4" t="str">
        <f>IFERROR(__xludf.DUMMYFUNCTION("""COMPUTED_VALUE"""),"Mumbai")</f>
        <v>Mumbai</v>
      </c>
      <c r="G19" s="4" t="str">
        <f>IFERROR(__xludf.DUMMYFUNCTION("""COMPUTED_VALUE"""),"Mumbai, Pune")</f>
        <v>Mumbai, Pune</v>
      </c>
      <c r="H19" s="4" t="str">
        <f>IFERROR(__xludf.DUMMYFUNCTION("""COMPUTED_VALUE"""),"3 Year(s) 0 Month(s)")</f>
        <v>3 Year(s) 0 Month(s)</v>
      </c>
      <c r="I19" s="4" t="str">
        <f>IFERROR(__xludf.DUMMYFUNCTION("""COMPUTED_VALUE"""),"Accenture")</f>
        <v>Accenture</v>
      </c>
      <c r="J19" s="4" t="str">
        <f>IFERROR(__xludf.DUMMYFUNCTION("""COMPUTED_VALUE"""),"Information Security Analyst")</f>
        <v>Information Security Analyst</v>
      </c>
      <c r="K19" s="4" t="str">
        <f>IFERROR(__xludf.DUMMYFUNCTION("""COMPUTED_VALUE"""),"Rs 5.50 Lakhs")</f>
        <v>Rs 5.50 Lakhs</v>
      </c>
      <c r="L19" s="4" t="str">
        <f>IFERROR(__xludf.DUMMYFUNCTION("""COMPUTED_VALUE"""),"Serving Notice Period")</f>
        <v>Serving Notice Period</v>
      </c>
      <c r="M19" s="4" t="str">
        <f>IFERROR(__xludf.DUMMYFUNCTION("""COMPUTED_VALUE"""),"Information Security Analyst | SOC L1 | SIEM | Splunk | CrowdStrike | Microsoft Defender | VA | Incident Response | Threat Detection")</f>
        <v>Information Security Analyst | SOC L1 | SIEM | Splunk | CrowdStrike | Microsoft Defender | VA | Incident Response | Threat Detection</v>
      </c>
      <c r="N19" s="4" t="str">
        <f>IFERROR(__xludf.DUMMYFUNCTION("""COMPUTED_VALUE"""),"B.Tech / B.E.")</f>
        <v>B.Tech / B.E.</v>
      </c>
      <c r="O19" s="4" t="str">
        <f>IFERROR(__xludf.DUMMYFUNCTION("""COMPUTED_VALUE"""),"DY Patil College of Engineering and Technology, Kolhapur")</f>
        <v>DY Patil College of Engineering and Technology, Kolhapur</v>
      </c>
      <c r="P19" s="4" t="str">
        <f>IFERROR(__xludf.DUMMYFUNCTION("""COMPUTED_VALUE"""),"NA")</f>
        <v>NA</v>
      </c>
      <c r="Q19" s="4" t="str">
        <f>IFERROR(__xludf.DUMMYFUNCTION("""COMPUTED_VALUE"""),"NA")</f>
        <v>NA</v>
      </c>
      <c r="R19" s="4" t="str">
        <f>IFERROR(__xludf.DUMMYFUNCTION("""COMPUTED_VALUE"""),"NA")</f>
        <v>NA</v>
      </c>
      <c r="S19" s="4" t="str">
        <f>IFERROR(__xludf.DUMMYFUNCTION("""COMPUTED_VALUE"""),"NA")</f>
        <v>NA</v>
      </c>
      <c r="T19" s="4" t="str">
        <f>IFERROR(__xludf.DUMMYFUNCTION("""COMPUTED_VALUE"""),"Male")</f>
        <v>Male</v>
      </c>
      <c r="U19" s="4" t="str">
        <f>IFERROR(__xludf.DUMMYFUNCTION("""COMPUTED_VALUE"""),"A/P-Yamage")</f>
        <v>A/P-Yamage</v>
      </c>
      <c r="V19" s="18">
        <f>IFERROR(__xludf.DUMMYFUNCTION("""COMPUTED_VALUE"""),37745.0)</f>
        <v>37745</v>
      </c>
      <c r="W19" s="4" t="str">
        <f>IFERROR(__xludf.DUMMYFUNCTION("""COMPUTED_VALUE"""),"Maybe")</f>
        <v>Maybe</v>
      </c>
      <c r="X19" s="4" t="str">
        <f>IFERROR(__xludf.DUMMYFUNCTION("""COMPUTED_VALUE"""),"Edu: B.Tech'2025
Current Location: Mumbai
Hometown: Kolapur
Total Exp: 3years
Current CTC: 5.5LPA
Expected CTC: 8LPA
Notice period: LWD 10 Sep'2026
Certificate: No")</f>
        <v>Edu: B.Tech'2025
Current Location: Mumbai
Hometown: Kolapur
Total Exp: 3years
Current CTC: 5.5LPA
Expected CTC: 8LPA
Notice period: LWD 10 Sep'2026
Certificate: No</v>
      </c>
      <c r="Y19" s="4" t="str">
        <f>IFERROR(__xludf.DUMMYFUNCTION("""COMPUTED_VALUE"""),"Profile shared with Vipul Sir on 3rd September via email")</f>
        <v>Profile shared with Vipul Sir on 3rd September via email</v>
      </c>
      <c r="Z19" s="4" t="str">
        <f>IFERROR(__xludf.DUMMYFUNCTION("""COMPUTED_VALUE"""),"NA")</f>
        <v>NA</v>
      </c>
      <c r="AA19" s="4" t="str">
        <f>IFERROR(__xludf.DUMMYFUNCTION("""COMPUTED_VALUE"""),"NA")</f>
        <v>NA</v>
      </c>
      <c r="AB19" s="4" t="str">
        <f>IFERROR(__xludf.DUMMYFUNCTION("""COMPUTED_VALUE"""),"NA")</f>
        <v>NA</v>
      </c>
      <c r="AC19" s="4" t="str">
        <f>IFERROR(__xludf.DUMMYFUNCTION("""COMPUTED_VALUE"""),"Splunk, Crowdstrike, Mimecast")</f>
        <v>Splunk, Crowdstrike, Mimecast</v>
      </c>
      <c r="AD19" s="4">
        <f>IFERROR(__xludf.DUMMYFUNCTION("""COMPUTED_VALUE"""),1.0)</f>
        <v>1</v>
      </c>
      <c r="AE19" s="4">
        <f>IFERROR(__xludf.DUMMYFUNCTION("""COMPUTED_VALUE"""),1.0)</f>
        <v>1</v>
      </c>
      <c r="AF19" s="4">
        <f>IFERROR(__xludf.DUMMYFUNCTION("""COMPUTED_VALUE"""),1.0)</f>
        <v>1</v>
      </c>
      <c r="AG19" s="4">
        <f>IFERROR(__xludf.DUMMYFUNCTION("""COMPUTED_VALUE"""),0.0)</f>
        <v>0</v>
      </c>
      <c r="AH19" s="4" t="str">
        <f>IFERROR(__xludf.DUMMYFUNCTION("""COMPUTED_VALUE"""),"Serving Notice Period")</f>
        <v>Serving Notice Period</v>
      </c>
      <c r="AI19" s="4" t="str">
        <f>IFERROR(__xludf.DUMMYFUNCTION("""COMPUTED_VALUE"""),"Yes")</f>
        <v>Yes</v>
      </c>
      <c r="AJ19" s="4">
        <f>IFERROR(__xludf.DUMMYFUNCTION("""COMPUTED_VALUE"""),550000.0)</f>
        <v>550000</v>
      </c>
      <c r="AK19" s="7" t="str">
        <f>IFERROR(__xludf.DUMMYFUNCTION("""COMPUTED_VALUE"""),"View profile")</f>
        <v>View profile</v>
      </c>
    </row>
    <row r="20">
      <c r="A20" s="4" t="str">
        <f>IFERROR(__xludf.DUMMYFUNCTION("""COMPUTED_VALUE"""),"TREND MICRO L2 Engineer")</f>
        <v>TREND MICRO L2 Engineer</v>
      </c>
      <c r="B20" s="6">
        <f>IFERROR(__xludf.DUMMYFUNCTION("""COMPUTED_VALUE"""),46268.0)</f>
        <v>46268</v>
      </c>
      <c r="C20" s="4" t="str">
        <f>IFERROR(__xludf.DUMMYFUNCTION("""COMPUTED_VALUE"""),"Dharmesh")</f>
        <v>Dharmesh</v>
      </c>
      <c r="D20" s="4" t="str">
        <f>IFERROR(__xludf.DUMMYFUNCTION("""COMPUTED_VALUE"""),"dharmesh24km@gmail.com")</f>
        <v>dharmesh24km@gmail.com</v>
      </c>
      <c r="E20" s="4">
        <f>IFERROR(__xludf.DUMMYFUNCTION("""COMPUTED_VALUE"""),6.380521723E9)</f>
        <v>6380521723</v>
      </c>
      <c r="F20" s="4" t="str">
        <f>IFERROR(__xludf.DUMMYFUNCTION("""COMPUTED_VALUE"""),"Chenani")</f>
        <v>Chenani</v>
      </c>
      <c r="G20" s="4" t="str">
        <f>IFERROR(__xludf.DUMMYFUNCTION("""COMPUTED_VALUE"""),"Hyderabad, Pune, Mumbai, Remote, Bengaluru, Chennai")</f>
        <v>Hyderabad, Pune, Mumbai, Remote, Bengaluru, Chennai</v>
      </c>
      <c r="H20" s="4" t="str">
        <f>IFERROR(__xludf.DUMMYFUNCTION("""COMPUTED_VALUE"""),"4 Year(s) 1 Month(s)")</f>
        <v>4 Year(s) 1 Month(s)</v>
      </c>
      <c r="I20" s="4" t="str">
        <f>IFERROR(__xludf.DUMMYFUNCTION("""COMPUTED_VALUE"""),"NA")</f>
        <v>NA</v>
      </c>
      <c r="J20" s="4" t="str">
        <f>IFERROR(__xludf.DUMMYFUNCTION("""COMPUTED_VALUE"""),"NA")</f>
        <v>NA</v>
      </c>
      <c r="K20" s="4" t="str">
        <f>IFERROR(__xludf.DUMMYFUNCTION("""COMPUTED_VALUE"""),"Rs 4.50 Lakhs")</f>
        <v>Rs 4.50 Lakhs</v>
      </c>
      <c r="L20" s="4" t="str">
        <f>IFERROR(__xludf.DUMMYFUNCTION("""COMPUTED_VALUE"""),"15 Days or less")</f>
        <v>15 Days or less</v>
      </c>
      <c r="M20" s="4" t="str">
        <f>IFERROR(__xludf.DUMMYFUNCTION("""COMPUTED_VALUE"""),"Over 4 years of experiencein Production Support Engineer | JAVA Application Support engineer|Control-M|shell scripting | SQL |Unix/Linux| ITIL |Defect Tracking|Production Monitoring|Application support|Incident Management|Troubleshooting|Devops|JAVA.")</f>
        <v>Over 4 years of experiencein Production Support Engineer | JAVA Application Support engineer|Control-M|shell scripting | SQL |Unix/Linux| ITIL |Defect Tracking|Production Monitoring|Application support|Incident Management|Troubleshooting|Devops|JAVA.</v>
      </c>
      <c r="N20" s="7" t="str">
        <f>IFERROR(__xludf.DUMMYFUNCTION("""COMPUTED_VALUE"""),"B.Sc")</f>
        <v>B.Sc</v>
      </c>
      <c r="O20" s="4" t="str">
        <f>IFERROR(__xludf.DUMMYFUNCTION("""COMPUTED_VALUE"""),"Periyar University")</f>
        <v>Periyar University</v>
      </c>
      <c r="P20" s="4" t="str">
        <f>IFERROR(__xludf.DUMMYFUNCTION("""COMPUTED_VALUE"""),"NA")</f>
        <v>NA</v>
      </c>
      <c r="Q20" s="4" t="str">
        <f>IFERROR(__xludf.DUMMYFUNCTION("""COMPUTED_VALUE"""),"NA")</f>
        <v>NA</v>
      </c>
      <c r="R20" s="4" t="str">
        <f>IFERROR(__xludf.DUMMYFUNCTION("""COMPUTED_VALUE"""),"NA")</f>
        <v>NA</v>
      </c>
      <c r="S20" s="4" t="str">
        <f>IFERROR(__xludf.DUMMYFUNCTION("""COMPUTED_VALUE"""),"NA")</f>
        <v>NA</v>
      </c>
      <c r="T20" s="4" t="str">
        <f>IFERROR(__xludf.DUMMYFUNCTION("""COMPUTED_VALUE"""),"Male")</f>
        <v>Male</v>
      </c>
      <c r="U20" s="4" t="str">
        <f>IFERROR(__xludf.DUMMYFUNCTION("""COMPUTED_VALUE"""),"Kallakurichi")</f>
        <v>Kallakurichi</v>
      </c>
      <c r="V20" s="12">
        <f>IFERROR(__xludf.DUMMYFUNCTION("""COMPUTED_VALUE"""),37339.0)</f>
        <v>37339</v>
      </c>
      <c r="W20" s="4" t="str">
        <f>IFERROR(__xludf.DUMMYFUNCTION("""COMPUTED_VALUE"""),"NA")</f>
        <v>NA</v>
      </c>
      <c r="X20" s="4" t="str">
        <f>IFERROR(__xludf.DUMMYFUNCTION("""COMPUTED_VALUE"""),"NA")</f>
        <v>NA</v>
      </c>
      <c r="Y20" s="4" t="str">
        <f>IFERROR(__xludf.DUMMYFUNCTION("""COMPUTED_VALUE"""),"NA")</f>
        <v>NA</v>
      </c>
      <c r="Z20" s="4" t="str">
        <f>IFERROR(__xludf.DUMMYFUNCTION("""COMPUTED_VALUE"""),"NA")</f>
        <v>NA</v>
      </c>
      <c r="AA20" s="4" t="str">
        <f>IFERROR(__xludf.DUMMYFUNCTION("""COMPUTED_VALUE"""),"NA")</f>
        <v>NA</v>
      </c>
      <c r="AB20" s="4" t="str">
        <f>IFERROR(__xludf.DUMMYFUNCTION("""COMPUTED_VALUE"""),"NA")</f>
        <v>NA</v>
      </c>
      <c r="AC20" s="4" t="str">
        <f>IFERROR(__xludf.DUMMYFUNCTION("""COMPUTED_VALUE"""),"Uinx/Linux")</f>
        <v>Uinx/Linux</v>
      </c>
      <c r="AD20" s="4">
        <f>IFERROR(__xludf.DUMMYFUNCTION("""COMPUTED_VALUE"""),2.0)</f>
        <v>2</v>
      </c>
      <c r="AE20" s="4">
        <f>IFERROR(__xludf.DUMMYFUNCTION("""COMPUTED_VALUE"""),2.0)</f>
        <v>2</v>
      </c>
      <c r="AF20" s="4">
        <f>IFERROR(__xludf.DUMMYFUNCTION("""COMPUTED_VALUE"""),2.0)</f>
        <v>2</v>
      </c>
      <c r="AG20" s="4">
        <f>IFERROR(__xludf.DUMMYFUNCTION("""COMPUTED_VALUE"""),550000.0)</f>
        <v>550000</v>
      </c>
      <c r="AH20" s="4" t="str">
        <f>IFERROR(__xludf.DUMMYFUNCTION("""COMPUTED_VALUE"""),"15 Days or less")</f>
        <v>15 Days or less</v>
      </c>
      <c r="AI20" s="4" t="str">
        <f>IFERROR(__xludf.DUMMYFUNCTION("""COMPUTED_VALUE"""),"Yes")</f>
        <v>Yes</v>
      </c>
      <c r="AJ20" s="4">
        <f>IFERROR(__xludf.DUMMYFUNCTION("""COMPUTED_VALUE"""),450000.0)</f>
        <v>450000</v>
      </c>
      <c r="AK20" s="7" t="str">
        <f>IFERROR(__xludf.DUMMYFUNCTION("""COMPUTED_VALUE"""),"View profile")</f>
        <v>View profile</v>
      </c>
    </row>
    <row r="21">
      <c r="A21" s="4" t="str">
        <f>IFERROR(__xludf.DUMMYFUNCTION("""COMPUTED_VALUE"""),"TREND MICRO L2 Engineer")</f>
        <v>TREND MICRO L2 Engineer</v>
      </c>
      <c r="B21" s="6">
        <f>IFERROR(__xludf.DUMMYFUNCTION("""COMPUTED_VALUE"""),46268.0)</f>
        <v>46268</v>
      </c>
      <c r="C21" s="4" t="str">
        <f>IFERROR(__xludf.DUMMYFUNCTION("""COMPUTED_VALUE"""),"Suraj Desai")</f>
        <v>Suraj Desai</v>
      </c>
      <c r="D21" s="4" t="str">
        <f>IFERROR(__xludf.DUMMYFUNCTION("""COMPUTED_VALUE"""),"surajdesai9765@gmail.com")</f>
        <v>surajdesai9765@gmail.com</v>
      </c>
      <c r="E21" s="4">
        <f>IFERROR(__xludf.DUMMYFUNCTION("""COMPUTED_VALUE"""),9.765848441E9)</f>
        <v>9765848441</v>
      </c>
      <c r="F21" s="4" t="str">
        <f>IFERROR(__xludf.DUMMYFUNCTION("""COMPUTED_VALUE"""),"Mumbai")</f>
        <v>Mumbai</v>
      </c>
      <c r="G21" s="4" t="str">
        <f>IFERROR(__xludf.DUMMYFUNCTION("""COMPUTED_VALUE"""),"Mumbai, Navi Mumbai, Hyderabad, Bengaluru, Pune, Remote")</f>
        <v>Mumbai, Navi Mumbai, Hyderabad, Bengaluru, Pune, Remote</v>
      </c>
      <c r="H21" s="4" t="str">
        <f>IFERROR(__xludf.DUMMYFUNCTION("""COMPUTED_VALUE"""),"3 Year(s) 2 Month(s)")</f>
        <v>3 Year(s) 2 Month(s)</v>
      </c>
      <c r="I21" s="4" t="str">
        <f>IFERROR(__xludf.DUMMYFUNCTION("""COMPUTED_VALUE"""),"World Network Services (WNS)")</f>
        <v>World Network Services (WNS)</v>
      </c>
      <c r="J21" s="4" t="str">
        <f>IFERROR(__xludf.DUMMYFUNCTION("""COMPUTED_VALUE"""),"Cyber Security Analyst")</f>
        <v>Cyber Security Analyst</v>
      </c>
      <c r="K21" s="4" t="str">
        <f>IFERROR(__xludf.DUMMYFUNCTION("""COMPUTED_VALUE"""),"Rs 5.50 Lakhs")</f>
        <v>Rs 5.50 Lakhs</v>
      </c>
      <c r="L21" s="4" t="str">
        <f>IFERROR(__xludf.DUMMYFUNCTION("""COMPUTED_VALUE"""),"Serving Notice Period")</f>
        <v>Serving Notice Period</v>
      </c>
      <c r="M21" s="4" t="str">
        <f>IFERROR(__xludf.DUMMYFUNCTION("""COMPUTED_VALUE"""),"Information Security Analyst with 3 
 Years of SOC Experience, Proficient in Security Monitoring, Network Analysis, Security Analysis, Network Security, Cyber Security, Incident Management. Log analysis, IT Security, Security Operations.")</f>
        <v>Information Security Analyst with 3 
 Years of SOC Experience, Proficient in Security Monitoring, Network Analysis, Security Analysis, Network Security, Cyber Security, Incident Management. Log analysis, IT Security, Security Operations.</v>
      </c>
      <c r="N21" s="4" t="str">
        <f>IFERROR(__xludf.DUMMYFUNCTION("""COMPUTED_VALUE"""),"B.Tech / B.E.")</f>
        <v>B.Tech / B.E.</v>
      </c>
      <c r="O21" s="4" t="str">
        <f>IFERROR(__xludf.DUMMYFUNCTION("""COMPUTED_VALUE"""),"Shivaji University, Maharashtra")</f>
        <v>Shivaji University, Maharashtra</v>
      </c>
      <c r="P21" s="4" t="str">
        <f>IFERROR(__xludf.DUMMYFUNCTION("""COMPUTED_VALUE"""),"NA")</f>
        <v>NA</v>
      </c>
      <c r="Q21" s="4" t="str">
        <f>IFERROR(__xludf.DUMMYFUNCTION("""COMPUTED_VALUE"""),"NA")</f>
        <v>NA</v>
      </c>
      <c r="R21" s="4" t="str">
        <f>IFERROR(__xludf.DUMMYFUNCTION("""COMPUTED_VALUE"""),"NA")</f>
        <v>NA</v>
      </c>
      <c r="S21" s="4" t="str">
        <f>IFERROR(__xludf.DUMMYFUNCTION("""COMPUTED_VALUE"""),"NA")</f>
        <v>NA</v>
      </c>
      <c r="T21" s="4" t="str">
        <f>IFERROR(__xludf.DUMMYFUNCTION("""COMPUTED_VALUE"""),"Male")</f>
        <v>Male</v>
      </c>
      <c r="U21" s="4" t="str">
        <f>IFERROR(__xludf.DUMMYFUNCTION("""COMPUTED_VALUE"""),"NA")</f>
        <v>NA</v>
      </c>
      <c r="V21" s="12">
        <f>IFERROR(__xludf.DUMMYFUNCTION("""COMPUTED_VALUE"""),36932.0)</f>
        <v>36932</v>
      </c>
      <c r="W21" s="4" t="str">
        <f>IFERROR(__xludf.DUMMYFUNCTION("""COMPUTED_VALUE"""),"Maybe")</f>
        <v>Maybe</v>
      </c>
      <c r="X21" s="4" t="str">
        <f>IFERROR(__xludf.DUMMYFUNCTION("""COMPUTED_VALUE"""),"NA")</f>
        <v>NA</v>
      </c>
      <c r="Y21" s="4" t="str">
        <f>IFERROR(__xludf.DUMMYFUNCTION("""COMPUTED_VALUE"""),"Profile shared with Vipul Sir on 3rd September via email")</f>
        <v>Profile shared with Vipul Sir on 3rd September via email</v>
      </c>
      <c r="Z21" s="4" t="str">
        <f>IFERROR(__xludf.DUMMYFUNCTION("""COMPUTED_VALUE"""),"NA")</f>
        <v>NA</v>
      </c>
      <c r="AA21" s="4" t="str">
        <f>IFERROR(__xludf.DUMMYFUNCTION("""COMPUTED_VALUE"""),"NA")</f>
        <v>NA</v>
      </c>
      <c r="AB21" s="4" t="str">
        <f>IFERROR(__xludf.DUMMYFUNCTION("""COMPUTED_VALUE"""),"NA")</f>
        <v>NA</v>
      </c>
      <c r="AC21" s="4" t="str">
        <f>IFERROR(__xludf.DUMMYFUNCTION("""COMPUTED_VALUE"""),"Soc")</f>
        <v>Soc</v>
      </c>
      <c r="AD21" s="4">
        <f>IFERROR(__xludf.DUMMYFUNCTION("""COMPUTED_VALUE"""),3.0)</f>
        <v>3</v>
      </c>
      <c r="AE21" s="4">
        <f>IFERROR(__xludf.DUMMYFUNCTION("""COMPUTED_VALUE"""),3.0)</f>
        <v>3</v>
      </c>
      <c r="AF21" s="4">
        <f>IFERROR(__xludf.DUMMYFUNCTION("""COMPUTED_VALUE"""),3.0)</f>
        <v>3</v>
      </c>
      <c r="AG21" s="4">
        <f>IFERROR(__xludf.DUMMYFUNCTION("""COMPUTED_VALUE"""),550000.0)</f>
        <v>550000</v>
      </c>
      <c r="AH21" s="4" t="str">
        <f>IFERROR(__xludf.DUMMYFUNCTION("""COMPUTED_VALUE"""),"Serving Notice Period")</f>
        <v>Serving Notice Period</v>
      </c>
      <c r="AI21" s="4" t="str">
        <f>IFERROR(__xludf.DUMMYFUNCTION("""COMPUTED_VALUE"""),"Yes")</f>
        <v>Yes</v>
      </c>
      <c r="AJ21" s="4">
        <f>IFERROR(__xludf.DUMMYFUNCTION("""COMPUTED_VALUE"""),550000.0)</f>
        <v>550000</v>
      </c>
      <c r="AK21" s="7" t="str">
        <f>IFERROR(__xludf.DUMMYFUNCTION("""COMPUTED_VALUE"""),"View profile")</f>
        <v>View profile</v>
      </c>
    </row>
    <row r="22">
      <c r="A22" s="4" t="str">
        <f>IFERROR(__xludf.DUMMYFUNCTION("""COMPUTED_VALUE"""),"TREND MICRO L2 Engineer")</f>
        <v>TREND MICRO L2 Engineer</v>
      </c>
      <c r="B22" s="6">
        <f>IFERROR(__xludf.DUMMYFUNCTION("""COMPUTED_VALUE"""),46268.0)</f>
        <v>46268</v>
      </c>
      <c r="C22" s="4" t="str">
        <f>IFERROR(__xludf.DUMMYFUNCTION("""COMPUTED_VALUE"""),"Naga Siva Prasad Reddy.M")</f>
        <v>Naga Siva Prasad Reddy.M</v>
      </c>
      <c r="D22" s="4" t="str">
        <f>IFERROR(__xludf.DUMMYFUNCTION("""COMPUTED_VALUE"""),"nagasivaprasad07@gmail.com")</f>
        <v>nagasivaprasad07@gmail.com</v>
      </c>
      <c r="E22" s="4">
        <f>IFERROR(__xludf.DUMMYFUNCTION("""COMPUTED_VALUE"""),8.179997607E9)</f>
        <v>8179997607</v>
      </c>
      <c r="F22" s="4" t="str">
        <f>IFERROR(__xludf.DUMMYFUNCTION("""COMPUTED_VALUE"""),"Hyderabad")</f>
        <v>Hyderabad</v>
      </c>
      <c r="G22" s="4" t="str">
        <f>IFERROR(__xludf.DUMMYFUNCTION("""COMPUTED_VALUE"""),"Gurugram, Ahmedabad, Hyderabad, Bengaluru, Chennai, Pune, Mumbai, Remote")</f>
        <v>Gurugram, Ahmedabad, Hyderabad, Bengaluru, Chennai, Pune, Mumbai, Remote</v>
      </c>
      <c r="H22" s="4" t="str">
        <f>IFERROR(__xludf.DUMMYFUNCTION("""COMPUTED_VALUE"""),"3 Year(s) 5 Month(s)")</f>
        <v>3 Year(s) 5 Month(s)</v>
      </c>
      <c r="I22" s="4" t="str">
        <f>IFERROR(__xludf.DUMMYFUNCTION("""COMPUTED_VALUE"""),"NA")</f>
        <v>NA</v>
      </c>
      <c r="J22" s="4" t="str">
        <f>IFERROR(__xludf.DUMMYFUNCTION("""COMPUTED_VALUE"""),"NA")</f>
        <v>NA</v>
      </c>
      <c r="K22" s="4" t="str">
        <f>IFERROR(__xludf.DUMMYFUNCTION("""COMPUTED_VALUE"""),"Rs 6 Lakhs")</f>
        <v>Rs 6 Lakhs</v>
      </c>
      <c r="L22" s="4" t="str">
        <f>IFERROR(__xludf.DUMMYFUNCTION("""COMPUTED_VALUE"""),"15 Days or less")</f>
        <v>15 Days or less</v>
      </c>
      <c r="M22" s="4" t="str">
        <f>IFERROR(__xludf.DUMMYFUNCTION("""COMPUTED_VALUE"""),"I'm having 3.6 years experience in SOC with SIEM, Qradar, Splunk, Microsoft sentinel, Crowdstrike, Incident Response, Incident management, Threat Detection, SOC Monitoring, Malware Analysis, Network Security, Log Analysis, Threat Intelligence, EDR.")</f>
        <v>I'm having 3.6 years experience in SOC with SIEM, Qradar, Splunk, Microsoft sentinel, Crowdstrike, Incident Response, Incident management, Threat Detection, SOC Monitoring, Malware Analysis, Network Security, Log Analysis, Threat Intelligence, EDR.</v>
      </c>
      <c r="N22" s="4" t="str">
        <f>IFERROR(__xludf.DUMMYFUNCTION("""COMPUTED_VALUE"""),"B.Tech / B.E.")</f>
        <v>B.Tech / B.E.</v>
      </c>
      <c r="O22" s="4" t="str">
        <f>IFERROR(__xludf.DUMMYFUNCTION("""COMPUTED_VALUE"""),"NBKR Institute of Science and Technology, Vidyanagar")</f>
        <v>NBKR Institute of Science and Technology, Vidyanagar</v>
      </c>
      <c r="P22" s="4" t="str">
        <f>IFERROR(__xludf.DUMMYFUNCTION("""COMPUTED_VALUE"""),"NA")</f>
        <v>NA</v>
      </c>
      <c r="Q22" s="4" t="str">
        <f>IFERROR(__xludf.DUMMYFUNCTION("""COMPUTED_VALUE"""),"NA")</f>
        <v>NA</v>
      </c>
      <c r="R22" s="4" t="str">
        <f>IFERROR(__xludf.DUMMYFUNCTION("""COMPUTED_VALUE"""),"NA")</f>
        <v>NA</v>
      </c>
      <c r="S22" s="4" t="str">
        <f>IFERROR(__xludf.DUMMYFUNCTION("""COMPUTED_VALUE"""),"NA")</f>
        <v>NA</v>
      </c>
      <c r="T22" s="4" t="str">
        <f>IFERROR(__xludf.DUMMYFUNCTION("""COMPUTED_VALUE"""),"Male")</f>
        <v>Male</v>
      </c>
      <c r="U22" s="4" t="str">
        <f>IFERROR(__xludf.DUMMYFUNCTION("""COMPUTED_VALUE"""),"Kadapa")</f>
        <v>Kadapa</v>
      </c>
      <c r="V22" s="12">
        <f>IFERROR(__xludf.DUMMYFUNCTION("""COMPUTED_VALUE"""),35791.0)</f>
        <v>35791</v>
      </c>
      <c r="W22" s="4" t="str">
        <f>IFERROR(__xludf.DUMMYFUNCTION("""COMPUTED_VALUE"""),"NA")</f>
        <v>NA</v>
      </c>
      <c r="X22" s="4" t="str">
        <f>IFERROR(__xludf.DUMMYFUNCTION("""COMPUTED_VALUE"""),"NA")</f>
        <v>NA</v>
      </c>
      <c r="Y22" s="4" t="str">
        <f>IFERROR(__xludf.DUMMYFUNCTION("""COMPUTED_VALUE"""),"NA")</f>
        <v>NA</v>
      </c>
      <c r="Z22" s="4" t="str">
        <f>IFERROR(__xludf.DUMMYFUNCTION("""COMPUTED_VALUE"""),"NA")</f>
        <v>NA</v>
      </c>
      <c r="AA22" s="4" t="str">
        <f>IFERROR(__xludf.DUMMYFUNCTION("""COMPUTED_VALUE"""),"NA")</f>
        <v>NA</v>
      </c>
      <c r="AB22" s="4" t="str">
        <f>IFERROR(__xludf.DUMMYFUNCTION("""COMPUTED_VALUE"""),"NA")</f>
        <v>NA</v>
      </c>
      <c r="AC22" s="4" t="str">
        <f>IFERROR(__xludf.DUMMYFUNCTION("""COMPUTED_VALUE"""),"Soc")</f>
        <v>Soc</v>
      </c>
      <c r="AD22" s="4">
        <f>IFERROR(__xludf.DUMMYFUNCTION("""COMPUTED_VALUE"""),3.0)</f>
        <v>3</v>
      </c>
      <c r="AE22" s="4">
        <f>IFERROR(__xludf.DUMMYFUNCTION("""COMPUTED_VALUE"""),3.0)</f>
        <v>3</v>
      </c>
      <c r="AF22" s="4">
        <f>IFERROR(__xludf.DUMMYFUNCTION("""COMPUTED_VALUE"""),3.5)</f>
        <v>3.5</v>
      </c>
      <c r="AG22" s="4">
        <f>IFERROR(__xludf.DUMMYFUNCTION("""COMPUTED_VALUE"""),1200000.0)</f>
        <v>1200000</v>
      </c>
      <c r="AH22" s="4" t="str">
        <f>IFERROR(__xludf.DUMMYFUNCTION("""COMPUTED_VALUE"""),"15 Days or less")</f>
        <v>15 Days or less</v>
      </c>
      <c r="AI22" s="4" t="str">
        <f>IFERROR(__xludf.DUMMYFUNCTION("""COMPUTED_VALUE"""),"Yes")</f>
        <v>Yes</v>
      </c>
      <c r="AJ22" s="4">
        <f>IFERROR(__xludf.DUMMYFUNCTION("""COMPUTED_VALUE"""),600000.0)</f>
        <v>600000</v>
      </c>
      <c r="AK22" s="7" t="str">
        <f>IFERROR(__xludf.DUMMYFUNCTION("""COMPUTED_VALUE"""),"View profile")</f>
        <v>View profile</v>
      </c>
    </row>
    <row r="23">
      <c r="A23" s="4" t="str">
        <f>IFERROR(__xludf.DUMMYFUNCTION("""COMPUTED_VALUE"""),"TREND MICRO L2 Engineer")</f>
        <v>TREND MICRO L2 Engineer</v>
      </c>
      <c r="B23" s="6">
        <f>IFERROR(__xludf.DUMMYFUNCTION("""COMPUTED_VALUE"""),46268.0)</f>
        <v>46268</v>
      </c>
      <c r="C23" s="4" t="str">
        <f>IFERROR(__xludf.DUMMYFUNCTION("""COMPUTED_VALUE"""),"Pooja Balasaheb Kahandal")</f>
        <v>Pooja Balasaheb Kahandal</v>
      </c>
      <c r="D23" s="4" t="str">
        <f>IFERROR(__xludf.DUMMYFUNCTION("""COMPUTED_VALUE"""),"poojakahandal90@gmail.com")</f>
        <v>poojakahandal90@gmail.com</v>
      </c>
      <c r="E23" s="4">
        <f>IFERROR(__xludf.DUMMYFUNCTION("""COMPUTED_VALUE"""),9.699705634E9)</f>
        <v>9699705634</v>
      </c>
      <c r="F23" s="4" t="str">
        <f>IFERROR(__xludf.DUMMYFUNCTION("""COMPUTED_VALUE"""),"Mumbai")</f>
        <v>Mumbai</v>
      </c>
      <c r="G23" s="4" t="str">
        <f>IFERROR(__xludf.DUMMYFUNCTION("""COMPUTED_VALUE"""),"Remote, Pune, Mumbai")</f>
        <v>Remote, Pune, Mumbai</v>
      </c>
      <c r="H23" s="4" t="str">
        <f>IFERROR(__xludf.DUMMYFUNCTION("""COMPUTED_VALUE"""),"3 Year(s) 5 Month(s)")</f>
        <v>3 Year(s) 5 Month(s)</v>
      </c>
      <c r="I23" s="4" t="str">
        <f>IFERROR(__xludf.DUMMYFUNCTION("""COMPUTED_VALUE"""),"Infosys")</f>
        <v>Infosys</v>
      </c>
      <c r="J23" s="4" t="str">
        <f>IFERROR(__xludf.DUMMYFUNCTION("""COMPUTED_VALUE"""),"Security Analyst")</f>
        <v>Security Analyst</v>
      </c>
      <c r="K23" s="4" t="str">
        <f>IFERROR(__xludf.DUMMYFUNCTION("""COMPUTED_VALUE"""),"NA")</f>
        <v>NA</v>
      </c>
      <c r="L23" s="4" t="str">
        <f>IFERROR(__xludf.DUMMYFUNCTION("""COMPUTED_VALUE"""),"Serving Notice Period")</f>
        <v>Serving Notice Period</v>
      </c>
      <c r="M23" s="4" t="str">
        <f>IFERROR(__xludf.DUMMYFUNCTION("""COMPUTED_VALUE"""),"Experienced Security Analyst with expertise in Microsoft Defender,Qradar,Threat Analysis,Phishing email analysis,Incident Response,SIEM,Splunk,Log Analysis,IDS,IPS,Crowdstrike,Incident Management,Vulnerability Scanning,Threat Detection.")</f>
        <v>Experienced Security Analyst with expertise in Microsoft Defender,Qradar,Threat Analysis,Phishing email analysis,Incident Response,SIEM,Splunk,Log Analysis,IDS,IPS,Crowdstrike,Incident Management,Vulnerability Scanning,Threat Detection.</v>
      </c>
      <c r="N23" s="7" t="str">
        <f>IFERROR(__xludf.DUMMYFUNCTION("""COMPUTED_VALUE"""),"B.Sc")</f>
        <v>B.Sc</v>
      </c>
      <c r="O23" s="4" t="str">
        <f>IFERROR(__xludf.DUMMYFUNCTION("""COMPUTED_VALUE"""),"Savitribai Phule Pune University, Maharashtra")</f>
        <v>Savitribai Phule Pune University, Maharashtra</v>
      </c>
      <c r="P23" s="4" t="str">
        <f>IFERROR(__xludf.DUMMYFUNCTION("""COMPUTED_VALUE"""),"Computers")</f>
        <v>Computers</v>
      </c>
      <c r="Q23" s="4" t="str">
        <f>IFERROR(__xludf.DUMMYFUNCTION("""COMPUTED_VALUE"""),"Pune University")</f>
        <v>Pune University</v>
      </c>
      <c r="R23" s="4" t="str">
        <f>IFERROR(__xludf.DUMMYFUNCTION("""COMPUTED_VALUE"""),"NA")</f>
        <v>NA</v>
      </c>
      <c r="S23" s="4" t="str">
        <f>IFERROR(__xludf.DUMMYFUNCTION("""COMPUTED_VALUE"""),"NA")</f>
        <v>NA</v>
      </c>
      <c r="T23" s="4" t="str">
        <f>IFERROR(__xludf.DUMMYFUNCTION("""COMPUTED_VALUE"""),"Female")</f>
        <v>Female</v>
      </c>
      <c r="U23" s="4" t="str">
        <f>IFERROR(__xludf.DUMMYFUNCTION("""COMPUTED_VALUE"""),"NA")</f>
        <v>NA</v>
      </c>
      <c r="V23" s="12">
        <f>IFERROR(__xludf.DUMMYFUNCTION("""COMPUTED_VALUE"""),35757.0)</f>
        <v>35757</v>
      </c>
      <c r="W23" s="4" t="str">
        <f>IFERROR(__xludf.DUMMYFUNCTION("""COMPUTED_VALUE"""),"Rejected")</f>
        <v>Rejected</v>
      </c>
      <c r="X23" s="4" t="str">
        <f>IFERROR(__xludf.DUMMYFUNCTION("""COMPUTED_VALUE"""),"Not Applicable - F")</f>
        <v>Not Applicable - F</v>
      </c>
      <c r="Y23" s="4" t="str">
        <f>IFERROR(__xludf.DUMMYFUNCTION("""COMPUTED_VALUE"""),"NA")</f>
        <v>NA</v>
      </c>
      <c r="Z23" s="4" t="str">
        <f>IFERROR(__xludf.DUMMYFUNCTION("""COMPUTED_VALUE"""),"NA")</f>
        <v>NA</v>
      </c>
      <c r="AA23" s="4" t="str">
        <f>IFERROR(__xludf.DUMMYFUNCTION("""COMPUTED_VALUE"""),"NA")</f>
        <v>NA</v>
      </c>
      <c r="AB23" s="4" t="str">
        <f>IFERROR(__xludf.DUMMYFUNCTION("""COMPUTED_VALUE"""),"NA")</f>
        <v>NA</v>
      </c>
      <c r="AC23" s="4" t="str">
        <f>IFERROR(__xludf.DUMMYFUNCTION("""COMPUTED_VALUE"""),"SIEM,FDR,EDR")</f>
        <v>SIEM,FDR,EDR</v>
      </c>
      <c r="AD23" s="4">
        <f>IFERROR(__xludf.DUMMYFUNCTION("""COMPUTED_VALUE"""),0.0)</f>
        <v>0</v>
      </c>
      <c r="AE23" s="4">
        <f>IFERROR(__xludf.DUMMYFUNCTION("""COMPUTED_VALUE"""),0.0)</f>
        <v>0</v>
      </c>
      <c r="AF23" s="4" t="str">
        <f>IFERROR(__xludf.DUMMYFUNCTION("""COMPUTED_VALUE"""),"No experience")</f>
        <v>No experience</v>
      </c>
      <c r="AG23" s="4">
        <f>IFERROR(__xludf.DUMMYFUNCTION("""COMPUTED_VALUE"""),0.0)</f>
        <v>0</v>
      </c>
      <c r="AH23" s="4" t="str">
        <f>IFERROR(__xludf.DUMMYFUNCTION("""COMPUTED_VALUE"""),"Serving Notice Period")</f>
        <v>Serving Notice Period</v>
      </c>
      <c r="AI23" s="4" t="str">
        <f>IFERROR(__xludf.DUMMYFUNCTION("""COMPUTED_VALUE"""),"Yes")</f>
        <v>Yes</v>
      </c>
      <c r="AJ23" s="4">
        <f>IFERROR(__xludf.DUMMYFUNCTION("""COMPUTED_VALUE"""),0.0)</f>
        <v>0</v>
      </c>
      <c r="AK23" s="7" t="str">
        <f>IFERROR(__xludf.DUMMYFUNCTION("""COMPUTED_VALUE"""),"View profile")</f>
        <v>View profile</v>
      </c>
    </row>
    <row r="24">
      <c r="A24" s="4" t="str">
        <f>IFERROR(__xludf.DUMMYFUNCTION("""COMPUTED_VALUE"""),"TREND MICRO L2 Engineer")</f>
        <v>TREND MICRO L2 Engineer</v>
      </c>
      <c r="B24" s="6">
        <f>IFERROR(__xludf.DUMMYFUNCTION("""COMPUTED_VALUE"""),46268.0)</f>
        <v>46268</v>
      </c>
      <c r="C24" s="4" t="str">
        <f>IFERROR(__xludf.DUMMYFUNCTION("""COMPUTED_VALUE"""),"Amita Kumari Singh")</f>
        <v>Amita Kumari Singh</v>
      </c>
      <c r="D24" s="4" t="str">
        <f>IFERROR(__xludf.DUMMYFUNCTION("""COMPUTED_VALUE"""),"amitasingh623@gmail.com")</f>
        <v>amitasingh623@gmail.com</v>
      </c>
      <c r="E24" s="4">
        <f>IFERROR(__xludf.DUMMYFUNCTION("""COMPUTED_VALUE"""),6.205259659E9)</f>
        <v>6205259659</v>
      </c>
      <c r="F24" s="4" t="str">
        <f>IFERROR(__xludf.DUMMYFUNCTION("""COMPUTED_VALUE"""),"Mumbai")</f>
        <v>Mumbai</v>
      </c>
      <c r="G24" s="4" t="str">
        <f>IFERROR(__xludf.DUMMYFUNCTION("""COMPUTED_VALUE"""),"Kolkata, Mumbai")</f>
        <v>Kolkata, Mumbai</v>
      </c>
      <c r="H24" s="4" t="str">
        <f>IFERROR(__xludf.DUMMYFUNCTION("""COMPUTED_VALUE"""),"4 Year(s) 6 Month(s)")</f>
        <v>4 Year(s) 6 Month(s)</v>
      </c>
      <c r="I24" s="4" t="str">
        <f>IFERROR(__xludf.DUMMYFUNCTION("""COMPUTED_VALUE"""),"Logix Infosecurity")</f>
        <v>Logix Infosecurity</v>
      </c>
      <c r="J24" s="4" t="str">
        <f>IFERROR(__xludf.DUMMYFUNCTION("""COMPUTED_VALUE"""),"Cloud Solution Engineer")</f>
        <v>Cloud Solution Engineer</v>
      </c>
      <c r="K24" s="4" t="str">
        <f>IFERROR(__xludf.DUMMYFUNCTION("""COMPUTED_VALUE"""),"Rs 4.50 Lakhs")</f>
        <v>Rs 4.50 Lakhs</v>
      </c>
      <c r="L24" s="4" t="str">
        <f>IFERROR(__xludf.DUMMYFUNCTION("""COMPUTED_VALUE"""),"3 Months")</f>
        <v>3 Months</v>
      </c>
      <c r="M24" s="4" t="str">
        <f>IFERROR(__xludf.DUMMYFUNCTION("""COMPUTED_VALUE"""),"Cloud Solution Engineer | Microsoft Azure | Azure Logic App | Azure Function | Azure Storage Account | Azure Service Bus | Azure Key Vault | Azure Managed Identities | Application Insights | Azure Monitoring | .Net C# | CI/CD Pipeline")</f>
        <v>Cloud Solution Engineer | Microsoft Azure | Azure Logic App | Azure Function | Azure Storage Account | Azure Service Bus | Azure Key Vault | Azure Managed Identities | Application Insights | Azure Monitoring | .Net C# | CI/CD Pipeline</v>
      </c>
      <c r="N24" s="4" t="str">
        <f>IFERROR(__xludf.DUMMYFUNCTION("""COMPUTED_VALUE"""),"B.Tech / B.E.")</f>
        <v>B.Tech / B.E.</v>
      </c>
      <c r="O24" s="4" t="str">
        <f>IFERROR(__xludf.DUMMYFUNCTION("""COMPUTED_VALUE"""),"Camellia Institute of Technology,Kolkata")</f>
        <v>Camellia Institute of Technology,Kolkata</v>
      </c>
      <c r="P24" s="4" t="str">
        <f>IFERROR(__xludf.DUMMYFUNCTION("""COMPUTED_VALUE"""),"NA")</f>
        <v>NA</v>
      </c>
      <c r="Q24" s="4" t="str">
        <f>IFERROR(__xludf.DUMMYFUNCTION("""COMPUTED_VALUE"""),"NA")</f>
        <v>NA</v>
      </c>
      <c r="R24" s="4" t="str">
        <f>IFERROR(__xludf.DUMMYFUNCTION("""COMPUTED_VALUE"""),"NA")</f>
        <v>NA</v>
      </c>
      <c r="S24" s="4" t="str">
        <f>IFERROR(__xludf.DUMMYFUNCTION("""COMPUTED_VALUE"""),"NA")</f>
        <v>NA</v>
      </c>
      <c r="T24" s="4" t="str">
        <f>IFERROR(__xludf.DUMMYFUNCTION("""COMPUTED_VALUE"""),"Female")</f>
        <v>Female</v>
      </c>
      <c r="U24" s="4" t="str">
        <f>IFERROR(__xludf.DUMMYFUNCTION("""COMPUTED_VALUE"""),"dhanbad")</f>
        <v>dhanbad</v>
      </c>
      <c r="V24" s="6">
        <f>IFERROR(__xludf.DUMMYFUNCTION("""COMPUTED_VALUE"""),35346.0)</f>
        <v>35346</v>
      </c>
      <c r="W24" s="4" t="str">
        <f>IFERROR(__xludf.DUMMYFUNCTION("""COMPUTED_VALUE"""),"Rejected")</f>
        <v>Rejected</v>
      </c>
      <c r="X24" s="4" t="str">
        <f>IFERROR(__xludf.DUMMYFUNCTION("""COMPUTED_VALUE"""),"Not Applicable - F")</f>
        <v>Not Applicable - F</v>
      </c>
      <c r="Y24" s="4" t="str">
        <f>IFERROR(__xludf.DUMMYFUNCTION("""COMPUTED_VALUE"""),"NA")</f>
        <v>NA</v>
      </c>
      <c r="Z24" s="4" t="str">
        <f>IFERROR(__xludf.DUMMYFUNCTION("""COMPUTED_VALUE"""),"NA")</f>
        <v>NA</v>
      </c>
      <c r="AA24" s="4" t="str">
        <f>IFERROR(__xludf.DUMMYFUNCTION("""COMPUTED_VALUE"""),"NA")</f>
        <v>NA</v>
      </c>
      <c r="AB24" s="4" t="str">
        <f>IFERROR(__xludf.DUMMYFUNCTION("""COMPUTED_VALUE"""),"NA")</f>
        <v>NA</v>
      </c>
      <c r="AC24" s="4" t="str">
        <f>IFERROR(__xludf.DUMMYFUNCTION("""COMPUTED_VALUE"""),"Na")</f>
        <v>Na</v>
      </c>
      <c r="AD24" s="4">
        <f>IFERROR(__xludf.DUMMYFUNCTION("""COMPUTED_VALUE"""),2.0)</f>
        <v>2</v>
      </c>
      <c r="AE24" s="4">
        <f>IFERROR(__xludf.DUMMYFUNCTION("""COMPUTED_VALUE"""),2.0)</f>
        <v>2</v>
      </c>
      <c r="AF24" s="4">
        <f>IFERROR(__xludf.DUMMYFUNCTION("""COMPUTED_VALUE"""),2.0)</f>
        <v>2</v>
      </c>
      <c r="AG24" s="4">
        <f>IFERROR(__xludf.DUMMYFUNCTION("""COMPUTED_VALUE"""),700000.0)</f>
        <v>700000</v>
      </c>
      <c r="AH24" s="4" t="str">
        <f>IFERROR(__xludf.DUMMYFUNCTION("""COMPUTED_VALUE"""),"3 Months")</f>
        <v>3 Months</v>
      </c>
      <c r="AI24" s="4" t="str">
        <f>IFERROR(__xludf.DUMMYFUNCTION("""COMPUTED_VALUE"""),"Yes")</f>
        <v>Yes</v>
      </c>
      <c r="AJ24" s="4">
        <f>IFERROR(__xludf.DUMMYFUNCTION("""COMPUTED_VALUE"""),450000.0)</f>
        <v>450000</v>
      </c>
      <c r="AK24" s="7" t="str">
        <f>IFERROR(__xludf.DUMMYFUNCTION("""COMPUTED_VALUE"""),"View profile")</f>
        <v>View profile</v>
      </c>
    </row>
    <row r="25">
      <c r="A25" s="4" t="str">
        <f>IFERROR(__xludf.DUMMYFUNCTION("""COMPUTED_VALUE"""),"TREND MICRO L2 Engineer")</f>
        <v>TREND MICRO L2 Engineer</v>
      </c>
      <c r="B25" s="6">
        <f>IFERROR(__xludf.DUMMYFUNCTION("""COMPUTED_VALUE"""),46268.0)</f>
        <v>46268</v>
      </c>
      <c r="C25" s="4" t="str">
        <f>IFERROR(__xludf.DUMMYFUNCTION("""COMPUTED_VALUE"""),"Bhaiyaso Sanjay Kole")</f>
        <v>Bhaiyaso Sanjay Kole</v>
      </c>
      <c r="D25" s="4" t="str">
        <f>IFERROR(__xludf.DUMMYFUNCTION("""COMPUTED_VALUE"""),"bhaiyasokole3008@gmail.com")</f>
        <v>bhaiyasokole3008@gmail.com</v>
      </c>
      <c r="E25" s="4">
        <f>IFERROR(__xludf.DUMMYFUNCTION("""COMPUTED_VALUE"""),9.075651565E9)</f>
        <v>9075651565</v>
      </c>
      <c r="F25" s="4" t="str">
        <f>IFERROR(__xludf.DUMMYFUNCTION("""COMPUTED_VALUE"""),"Mumbai")</f>
        <v>Mumbai</v>
      </c>
      <c r="G25" s="4" t="str">
        <f>IFERROR(__xludf.DUMMYFUNCTION("""COMPUTED_VALUE"""),"Mumbai (All Areas), Remote, Mumbai, Pune")</f>
        <v>Mumbai (All Areas), Remote, Mumbai, Pune</v>
      </c>
      <c r="H25" s="4" t="str">
        <f>IFERROR(__xludf.DUMMYFUNCTION("""COMPUTED_VALUE"""),"3 Year(s) 2 Month(s)")</f>
        <v>3 Year(s) 2 Month(s)</v>
      </c>
      <c r="I25" s="4" t="str">
        <f>IFERROR(__xludf.DUMMYFUNCTION("""COMPUTED_VALUE"""),"IBM Mumbai")</f>
        <v>IBM Mumbai</v>
      </c>
      <c r="J25" s="4" t="str">
        <f>IFERROR(__xludf.DUMMYFUNCTION("""COMPUTED_VALUE"""),"Information Security Analyst")</f>
        <v>Information Security Analyst</v>
      </c>
      <c r="K25" s="4" t="str">
        <f>IFERROR(__xludf.DUMMYFUNCTION("""COMPUTED_VALUE"""),"Rs 5.60 Lakhs")</f>
        <v>Rs 5.60 Lakhs</v>
      </c>
      <c r="L25" s="4" t="str">
        <f>IFERROR(__xludf.DUMMYFUNCTION("""COMPUTED_VALUE"""),"Serving Notice Period")</f>
        <v>Serving Notice Period</v>
      </c>
      <c r="M25" s="4" t="str">
        <f>IFERROR(__xludf.DUMMYFUNCTION("""COMPUTED_VALUE"""),"Information Security Analyst with 3.2 Years of SOC Experience, Proficient in Security Monitoring, Network Analysis, Security Analysis, Network Security, Incident Management, Penetration Testing. Log analysis, IT Security,Security Operations .")</f>
        <v>Information Security Analyst with 3.2 Years of SOC Experience, Proficient in Security Monitoring, Network Analysis, Security Analysis, Network Security, Incident Management, Penetration Testing. Log analysis, IT Security,Security Operations .</v>
      </c>
      <c r="N25" s="4" t="str">
        <f>IFERROR(__xludf.DUMMYFUNCTION("""COMPUTED_VALUE"""),"NA")</f>
        <v>NA</v>
      </c>
      <c r="O25" s="4" t="str">
        <f>IFERROR(__xludf.DUMMYFUNCTION("""COMPUTED_VALUE"""),"NA")</f>
        <v>NA</v>
      </c>
      <c r="P25" s="4" t="str">
        <f>IFERROR(__xludf.DUMMYFUNCTION("""COMPUTED_VALUE"""),"Cyber Security")</f>
        <v>Cyber Security</v>
      </c>
      <c r="Q25" s="4" t="str">
        <f>IFERROR(__xludf.DUMMYFUNCTION("""COMPUTED_VALUE"""),"Sanjay Ghodawat University, Kolhapur")</f>
        <v>Sanjay Ghodawat University, Kolhapur</v>
      </c>
      <c r="R25" s="4" t="str">
        <f>IFERROR(__xludf.DUMMYFUNCTION("""COMPUTED_VALUE"""),"NA")</f>
        <v>NA</v>
      </c>
      <c r="S25" s="4" t="str">
        <f>IFERROR(__xludf.DUMMYFUNCTION("""COMPUTED_VALUE"""),"NA")</f>
        <v>NA</v>
      </c>
      <c r="T25" s="4" t="str">
        <f>IFERROR(__xludf.DUMMYFUNCTION("""COMPUTED_VALUE"""),"Male")</f>
        <v>Male</v>
      </c>
      <c r="U25" s="4" t="str">
        <f>IFERROR(__xludf.DUMMYFUNCTION("""COMPUTED_VALUE"""),"mumbai")</f>
        <v>mumbai</v>
      </c>
      <c r="V25" s="12">
        <f>IFERROR(__xludf.DUMMYFUNCTION("""COMPUTED_VALUE"""),36037.0)</f>
        <v>36037</v>
      </c>
      <c r="W25" s="4" t="str">
        <f>IFERROR(__xludf.DUMMYFUNCTION("""COMPUTED_VALUE"""),"Maybe")</f>
        <v>Maybe</v>
      </c>
      <c r="X25" s="4" t="str">
        <f>IFERROR(__xludf.DUMMYFUNCTION("""COMPUTED_VALUE"""),"NA")</f>
        <v>NA</v>
      </c>
      <c r="Y25" s="4" t="str">
        <f>IFERROR(__xludf.DUMMYFUNCTION("""COMPUTED_VALUE"""),"Profile shared with Vipul Sir on 3rd September via email")</f>
        <v>Profile shared with Vipul Sir on 3rd September via email</v>
      </c>
      <c r="Z25" s="4" t="str">
        <f>IFERROR(__xludf.DUMMYFUNCTION("""COMPUTED_VALUE"""),"NA")</f>
        <v>NA</v>
      </c>
      <c r="AA25" s="4" t="str">
        <f>IFERROR(__xludf.DUMMYFUNCTION("""COMPUTED_VALUE"""),"NA")</f>
        <v>NA</v>
      </c>
      <c r="AB25" s="4" t="str">
        <f>IFERROR(__xludf.DUMMYFUNCTION("""COMPUTED_VALUE"""),"NA")</f>
        <v>NA</v>
      </c>
      <c r="AC25" s="4" t="str">
        <f>IFERROR(__xludf.DUMMYFUNCTION("""COMPUTED_VALUE"""),"Splunk")</f>
        <v>Splunk</v>
      </c>
      <c r="AD25" s="4">
        <f>IFERROR(__xludf.DUMMYFUNCTION("""COMPUTED_VALUE"""),1.0)</f>
        <v>1</v>
      </c>
      <c r="AE25" s="4" t="str">
        <f>IFERROR(__xludf.DUMMYFUNCTION("""COMPUTED_VALUE"""),"3 years")</f>
        <v>3 years</v>
      </c>
      <c r="AF25" s="4">
        <f>IFERROR(__xludf.DUMMYFUNCTION("""COMPUTED_VALUE"""),1.0)</f>
        <v>1</v>
      </c>
      <c r="AG25" s="4">
        <f>IFERROR(__xludf.DUMMYFUNCTION("""COMPUTED_VALUE"""),900000.0)</f>
        <v>900000</v>
      </c>
      <c r="AH25" s="4" t="str">
        <f>IFERROR(__xludf.DUMMYFUNCTION("""COMPUTED_VALUE"""),"Serving Notice Period")</f>
        <v>Serving Notice Period</v>
      </c>
      <c r="AI25" s="4" t="str">
        <f>IFERROR(__xludf.DUMMYFUNCTION("""COMPUTED_VALUE"""),"Yes")</f>
        <v>Yes</v>
      </c>
      <c r="AJ25" s="4">
        <f>IFERROR(__xludf.DUMMYFUNCTION("""COMPUTED_VALUE"""),560000.0)</f>
        <v>560000</v>
      </c>
      <c r="AK25" s="7" t="str">
        <f>IFERROR(__xludf.DUMMYFUNCTION("""COMPUTED_VALUE"""),"View profile")</f>
        <v>View profile</v>
      </c>
    </row>
    <row r="26">
      <c r="A26" s="4" t="str">
        <f>IFERROR(__xludf.DUMMYFUNCTION("""COMPUTED_VALUE"""),"TREND MICRO L2 Engineer")</f>
        <v>TREND MICRO L2 Engineer</v>
      </c>
      <c r="B26" s="6">
        <f>IFERROR(__xludf.DUMMYFUNCTION("""COMPUTED_VALUE"""),46267.0)</f>
        <v>46267</v>
      </c>
      <c r="C26" s="4" t="str">
        <f>IFERROR(__xludf.DUMMYFUNCTION("""COMPUTED_VALUE"""),"Jaypal Rathod")</f>
        <v>Jaypal Rathod</v>
      </c>
      <c r="D26" s="4" t="str">
        <f>IFERROR(__xludf.DUMMYFUNCTION("""COMPUTED_VALUE"""),"rjay23040@gmail.com")</f>
        <v>rjay23040@gmail.com</v>
      </c>
      <c r="E26" s="4" t="str">
        <f>IFERROR(__xludf.DUMMYFUNCTION("""COMPUTED_VALUE"""),"8605980399, +8605980399")</f>
        <v>8605980399, +8605980399</v>
      </c>
      <c r="F26" s="4" t="str">
        <f>IFERROR(__xludf.DUMMYFUNCTION("""COMPUTED_VALUE"""),"Pune")</f>
        <v>Pune</v>
      </c>
      <c r="G26" s="4" t="str">
        <f>IFERROR(__xludf.DUMMYFUNCTION("""COMPUTED_VALUE"""),"Mumbai, Pune")</f>
        <v>Mumbai, Pune</v>
      </c>
      <c r="H26" s="4" t="str">
        <f>IFERROR(__xludf.DUMMYFUNCTION("""COMPUTED_VALUE"""),"2 Year(s) 6 Month(s)")</f>
        <v>2 Year(s) 6 Month(s)</v>
      </c>
      <c r="I26" s="4" t="str">
        <f>IFERROR(__xludf.DUMMYFUNCTION("""COMPUTED_VALUE"""),"Cloud Annotations Pvt.Ltd")</f>
        <v>Cloud Annotations Pvt.Ltd</v>
      </c>
      <c r="J26" s="4" t="str">
        <f>IFERROR(__xludf.DUMMYFUNCTION("""COMPUTED_VALUE"""),"Security Analyst")</f>
        <v>Security Analyst</v>
      </c>
      <c r="K26" s="4" t="str">
        <f>IFERROR(__xludf.DUMMYFUNCTION("""COMPUTED_VALUE"""),"Rs 3.50 Lakhs")</f>
        <v>Rs 3.50 Lakhs</v>
      </c>
      <c r="L26" s="4" t="str">
        <f>IFERROR(__xludf.DUMMYFUNCTION("""COMPUTED_VALUE"""),"15 Days or less")</f>
        <v>15 Days or less</v>
      </c>
      <c r="M26" s="4" t="str">
        <f>IFERROR(__xludf.DUMMYFUNCTION("""COMPUTED_VALUE"""),"AWS Cloud Engineer with DevOps &amp; Cloud Security Skills")</f>
        <v>AWS Cloud Engineer with DevOps &amp; Cloud Security Skills</v>
      </c>
      <c r="N26" s="4" t="str">
        <f>IFERROR(__xludf.DUMMYFUNCTION("""COMPUTED_VALUE"""),"B.Tech / B.E.")</f>
        <v>B.Tech / B.E.</v>
      </c>
      <c r="O26" s="4" t="str">
        <f>IFERROR(__xludf.DUMMYFUNCTION("""COMPUTED_VALUE"""),"Amravati University")</f>
        <v>Amravati University</v>
      </c>
      <c r="P26" s="4" t="str">
        <f>IFERROR(__xludf.DUMMYFUNCTION("""COMPUTED_VALUE"""),"NA")</f>
        <v>NA</v>
      </c>
      <c r="Q26" s="4" t="str">
        <f>IFERROR(__xludf.DUMMYFUNCTION("""COMPUTED_VALUE"""),"NA")</f>
        <v>NA</v>
      </c>
      <c r="R26" s="4" t="str">
        <f>IFERROR(__xludf.DUMMYFUNCTION("""COMPUTED_VALUE"""),"NA")</f>
        <v>NA</v>
      </c>
      <c r="S26" s="4" t="str">
        <f>IFERROR(__xludf.DUMMYFUNCTION("""COMPUTED_VALUE"""),"NA")</f>
        <v>NA</v>
      </c>
      <c r="T26" s="4" t="str">
        <f>IFERROR(__xludf.DUMMYFUNCTION("""COMPUTED_VALUE"""),"Male")</f>
        <v>Male</v>
      </c>
      <c r="U26" s="4" t="str">
        <f>IFERROR(__xludf.DUMMYFUNCTION("""COMPUTED_VALUE"""),"pusad")</f>
        <v>pusad</v>
      </c>
      <c r="V26" s="18">
        <f>IFERROR(__xludf.DUMMYFUNCTION("""COMPUTED_VALUE"""),35557.0)</f>
        <v>35557</v>
      </c>
      <c r="W26" s="4" t="str">
        <f>IFERROR(__xludf.DUMMYFUNCTION("""COMPUTED_VALUE"""),"NA")</f>
        <v>NA</v>
      </c>
      <c r="X26" s="4" t="str">
        <f>IFERROR(__xludf.DUMMYFUNCTION("""COMPUTED_VALUE"""),"NA")</f>
        <v>NA</v>
      </c>
      <c r="Y26" s="4" t="str">
        <f>IFERROR(__xludf.DUMMYFUNCTION("""COMPUTED_VALUE"""),"NA")</f>
        <v>NA</v>
      </c>
      <c r="Z26" s="4" t="str">
        <f>IFERROR(__xludf.DUMMYFUNCTION("""COMPUTED_VALUE"""),"NA")</f>
        <v>NA</v>
      </c>
      <c r="AA26" s="4" t="str">
        <f>IFERROR(__xludf.DUMMYFUNCTION("""COMPUTED_VALUE"""),"NA")</f>
        <v>NA</v>
      </c>
      <c r="AB26" s="4" t="str">
        <f>IFERROR(__xludf.DUMMYFUNCTION("""COMPUTED_VALUE"""),"NA")</f>
        <v>NA</v>
      </c>
      <c r="AC26" s="4" t="str">
        <f>IFERROR(__xludf.DUMMYFUNCTION("""COMPUTED_VALUE"""),"cyber security")</f>
        <v>cyber security</v>
      </c>
      <c r="AD26" s="4">
        <f>IFERROR(__xludf.DUMMYFUNCTION("""COMPUTED_VALUE"""),3.0)</f>
        <v>3</v>
      </c>
      <c r="AE26" s="4">
        <f>IFERROR(__xludf.DUMMYFUNCTION("""COMPUTED_VALUE"""),3.0)</f>
        <v>3</v>
      </c>
      <c r="AF26" s="4">
        <f>IFERROR(__xludf.DUMMYFUNCTION("""COMPUTED_VALUE"""),3.0)</f>
        <v>3</v>
      </c>
      <c r="AG26" s="4">
        <f>IFERROR(__xludf.DUMMYFUNCTION("""COMPUTED_VALUE"""),350000.0)</f>
        <v>350000</v>
      </c>
      <c r="AH26" s="4" t="str">
        <f>IFERROR(__xludf.DUMMYFUNCTION("""COMPUTED_VALUE"""),"15 Days or less")</f>
        <v>15 Days or less</v>
      </c>
      <c r="AI26" s="4" t="str">
        <f>IFERROR(__xludf.DUMMYFUNCTION("""COMPUTED_VALUE"""),"Yes")</f>
        <v>Yes</v>
      </c>
      <c r="AJ26" s="4">
        <f>IFERROR(__xludf.DUMMYFUNCTION("""COMPUTED_VALUE"""),350000.0)</f>
        <v>350000</v>
      </c>
      <c r="AK26" s="7" t="str">
        <f>IFERROR(__xludf.DUMMYFUNCTION("""COMPUTED_VALUE"""),"View profile")</f>
        <v>View profile</v>
      </c>
    </row>
    <row r="27">
      <c r="A27" s="4" t="str">
        <f>IFERROR(__xludf.DUMMYFUNCTION("""COMPUTED_VALUE"""),"TREND MICRO L2 Engineer")</f>
        <v>TREND MICRO L2 Engineer</v>
      </c>
      <c r="B27" s="6">
        <f>IFERROR(__xludf.DUMMYFUNCTION("""COMPUTED_VALUE"""),46267.0)</f>
        <v>46267</v>
      </c>
      <c r="C27" s="4" t="str">
        <f>IFERROR(__xludf.DUMMYFUNCTION("""COMPUTED_VALUE"""),"Sumedh Rananaware")</f>
        <v>Sumedh Rananaware</v>
      </c>
      <c r="D27" s="4" t="str">
        <f>IFERROR(__xludf.DUMMYFUNCTION("""COMPUTED_VALUE"""),"sumedh.mr@gmail.com")</f>
        <v>sumedh.mr@gmail.com</v>
      </c>
      <c r="E27" s="4">
        <f>IFERROR(__xludf.DUMMYFUNCTION("""COMPUTED_VALUE"""),9.167759377E9)</f>
        <v>9167759377</v>
      </c>
      <c r="F27" s="4" t="str">
        <f>IFERROR(__xludf.DUMMYFUNCTION("""COMPUTED_VALUE"""),"Mumbai")</f>
        <v>Mumbai</v>
      </c>
      <c r="G27" s="4" t="str">
        <f>IFERROR(__xludf.DUMMYFUNCTION("""COMPUTED_VALUE"""),"Gurugram, Delhi / NCR, Mumbai Suburban, Navi Mumbai, Bengaluru, Mumbai (All Areas), Mumbai, Pune, Hyderabad, Remote")</f>
        <v>Gurugram, Delhi / NCR, Mumbai Suburban, Navi Mumbai, Bengaluru, Mumbai (All Areas), Mumbai, Pune, Hyderabad, Remote</v>
      </c>
      <c r="H27" s="4" t="str">
        <f>IFERROR(__xludf.DUMMYFUNCTION("""COMPUTED_VALUE"""),"2 Year(s) 6 Month(s)")</f>
        <v>2 Year(s) 6 Month(s)</v>
      </c>
      <c r="I27" s="4" t="str">
        <f>IFERROR(__xludf.DUMMYFUNCTION("""COMPUTED_VALUE"""),"Tata Consultancy Services(TCS)")</f>
        <v>Tata Consultancy Services(TCS)</v>
      </c>
      <c r="J27" s="4" t="str">
        <f>IFERROR(__xludf.DUMMYFUNCTION("""COMPUTED_VALUE"""),"Cyber Security Analyst")</f>
        <v>Cyber Security Analyst</v>
      </c>
      <c r="K27" s="4" t="str">
        <f>IFERROR(__xludf.DUMMYFUNCTION("""COMPUTED_VALUE"""),"Rs 4.65 Lakhs")</f>
        <v>Rs 4.65 Lakhs</v>
      </c>
      <c r="L27" s="4" t="str">
        <f>IFERROR(__xludf.DUMMYFUNCTION("""COMPUTED_VALUE"""),"1 Months")</f>
        <v>1 Months</v>
      </c>
      <c r="M27" s="4" t="str">
        <f>IFERROR(__xludf.DUMMYFUNCTION("""COMPUTED_VALUE"""),"Cyber security Analyst@TCS | 2.7yrs Exp | DLP | EDR | Endpoint security | NAC | AWS Cloud| Cloud security | I am willing to work in cyber security and cloud security role.")</f>
        <v>Cyber security Analyst@TCS | 2.7yrs Exp | DLP | EDR | Endpoint security | NAC | AWS Cloud| Cloud security | I am willing to work in cyber security and cloud security role.</v>
      </c>
      <c r="N27" s="4" t="str">
        <f>IFERROR(__xludf.DUMMYFUNCTION("""COMPUTED_VALUE"""),"B.Tech / B.E.")</f>
        <v>B.Tech / B.E.</v>
      </c>
      <c r="O27" s="4" t="str">
        <f>IFERROR(__xludf.DUMMYFUNCTION("""COMPUTED_VALUE"""),"St Francis Institute of Technology, Mumbai")</f>
        <v>St Francis Institute of Technology, Mumbai</v>
      </c>
      <c r="P27" s="4" t="str">
        <f>IFERROR(__xludf.DUMMYFUNCTION("""COMPUTED_VALUE"""),"NA")</f>
        <v>NA</v>
      </c>
      <c r="Q27" s="4" t="str">
        <f>IFERROR(__xludf.DUMMYFUNCTION("""COMPUTED_VALUE"""),"NA")</f>
        <v>NA</v>
      </c>
      <c r="R27" s="4" t="str">
        <f>IFERROR(__xludf.DUMMYFUNCTION("""COMPUTED_VALUE"""),"NA")</f>
        <v>NA</v>
      </c>
      <c r="S27" s="4" t="str">
        <f>IFERROR(__xludf.DUMMYFUNCTION("""COMPUTED_VALUE"""),"NA")</f>
        <v>NA</v>
      </c>
      <c r="T27" s="4" t="str">
        <f>IFERROR(__xludf.DUMMYFUNCTION("""COMPUTED_VALUE"""),"Male")</f>
        <v>Male</v>
      </c>
      <c r="U27" s="4" t="str">
        <f>IFERROR(__xludf.DUMMYFUNCTION("""COMPUTED_VALUE"""),"NA")</f>
        <v>NA</v>
      </c>
      <c r="V27" s="6">
        <f>IFERROR(__xludf.DUMMYFUNCTION("""COMPUTED_VALUE"""),37110.0)</f>
        <v>37110</v>
      </c>
      <c r="W27" s="4" t="str">
        <f>IFERROR(__xludf.DUMMYFUNCTION("""COMPUTED_VALUE"""),"NA")</f>
        <v>NA</v>
      </c>
      <c r="X27" s="4" t="str">
        <f>IFERROR(__xludf.DUMMYFUNCTION("""COMPUTED_VALUE"""),"TCS Employee")</f>
        <v>TCS Employee</v>
      </c>
      <c r="Y27" s="4" t="str">
        <f>IFERROR(__xludf.DUMMYFUNCTION("""COMPUTED_VALUE"""),"NA")</f>
        <v>NA</v>
      </c>
      <c r="Z27" s="4" t="str">
        <f>IFERROR(__xludf.DUMMYFUNCTION("""COMPUTED_VALUE"""),"NA")</f>
        <v>NA</v>
      </c>
      <c r="AA27" s="4" t="str">
        <f>IFERROR(__xludf.DUMMYFUNCTION("""COMPUTED_VALUE"""),"NA")</f>
        <v>NA</v>
      </c>
      <c r="AB27" s="4" t="str">
        <f>IFERROR(__xludf.DUMMYFUNCTION("""COMPUTED_VALUE"""),"NA")</f>
        <v>NA</v>
      </c>
      <c r="AC27" s="4" t="str">
        <f>IFERROR(__xludf.DUMMYFUNCTION("""COMPUTED_VALUE"""),"DLP,EDR")</f>
        <v>DLP,EDR</v>
      </c>
      <c r="AD27" s="4">
        <f>IFERROR(__xludf.DUMMYFUNCTION("""COMPUTED_VALUE"""),2.5)</f>
        <v>2.5</v>
      </c>
      <c r="AE27" s="4">
        <f>IFERROR(__xludf.DUMMYFUNCTION("""COMPUTED_VALUE"""),2.5)</f>
        <v>2.5</v>
      </c>
      <c r="AF27" s="4">
        <f>IFERROR(__xludf.DUMMYFUNCTION("""COMPUTED_VALUE"""),2.5)</f>
        <v>2.5</v>
      </c>
      <c r="AG27" s="4">
        <f>IFERROR(__xludf.DUMMYFUNCTION("""COMPUTED_VALUE"""),750000.0)</f>
        <v>750000</v>
      </c>
      <c r="AH27" s="4" t="str">
        <f>IFERROR(__xludf.DUMMYFUNCTION("""COMPUTED_VALUE"""),"1 Month")</f>
        <v>1 Month</v>
      </c>
      <c r="AI27" s="4" t="str">
        <f>IFERROR(__xludf.DUMMYFUNCTION("""COMPUTED_VALUE"""),"Yes")</f>
        <v>Yes</v>
      </c>
      <c r="AJ27" s="4">
        <f>IFERROR(__xludf.DUMMYFUNCTION("""COMPUTED_VALUE"""),465000.0)</f>
        <v>465000</v>
      </c>
      <c r="AK27" s="7" t="str">
        <f>IFERROR(__xludf.DUMMYFUNCTION("""COMPUTED_VALUE"""),"View profile")</f>
        <v>View profile</v>
      </c>
    </row>
    <row r="28">
      <c r="A28" s="4" t="str">
        <f>IFERROR(__xludf.DUMMYFUNCTION("""COMPUTED_VALUE"""),"TREND MICRO L2 Engineer")</f>
        <v>TREND MICRO L2 Engineer</v>
      </c>
      <c r="B28" s="6">
        <f>IFERROR(__xludf.DUMMYFUNCTION("""COMPUTED_VALUE"""),46267.0)</f>
        <v>46267</v>
      </c>
      <c r="C28" s="4" t="str">
        <f>IFERROR(__xludf.DUMMYFUNCTION("""COMPUTED_VALUE"""),"giriboyinagangaiah")</f>
        <v>giriboyinagangaiah</v>
      </c>
      <c r="D28" s="4" t="str">
        <f>IFERROR(__xludf.DUMMYFUNCTION("""COMPUTED_VALUE"""),"giriboyinagangaiah@gmail.com")</f>
        <v>giriboyinagangaiah@gmail.com</v>
      </c>
      <c r="E28" s="4">
        <f>IFERROR(__xludf.DUMMYFUNCTION("""COMPUTED_VALUE"""),6.303410585E9)</f>
        <v>6303410585</v>
      </c>
      <c r="F28" s="4" t="str">
        <f>IFERROR(__xludf.DUMMYFUNCTION("""COMPUTED_VALUE"""),"Hyderabad")</f>
        <v>Hyderabad</v>
      </c>
      <c r="G28" s="4" t="str">
        <f>IFERROR(__xludf.DUMMYFUNCTION("""COMPUTED_VALUE"""),"Kolkata, Delhi / NCR, Hyderabad, Bengaluru, Chennai, Pune, Noida, Ahmedabad, Gurugram, Mumbai")</f>
        <v>Kolkata, Delhi / NCR, Hyderabad, Bengaluru, Chennai, Pune, Noida, Ahmedabad, Gurugram, Mumbai</v>
      </c>
      <c r="H28" s="4" t="str">
        <f>IFERROR(__xludf.DUMMYFUNCTION("""COMPUTED_VALUE"""),"4 Year(s) 1 Month(s)")</f>
        <v>4 Year(s) 1 Month(s)</v>
      </c>
      <c r="I28" s="4" t="str">
        <f>IFERROR(__xludf.DUMMYFUNCTION("""COMPUTED_VALUE"""),"NA")</f>
        <v>NA</v>
      </c>
      <c r="J28" s="4" t="str">
        <f>IFERROR(__xludf.DUMMYFUNCTION("""COMPUTED_VALUE"""),"NA")</f>
        <v>NA</v>
      </c>
      <c r="K28" s="4" t="str">
        <f>IFERROR(__xludf.DUMMYFUNCTION("""COMPUTED_VALUE"""),"Rs 5 Lakhs")</f>
        <v>Rs 5 Lakhs</v>
      </c>
      <c r="L28" s="4" t="str">
        <f>IFERROR(__xludf.DUMMYFUNCTION("""COMPUTED_VALUE"""),"15 Days or less")</f>
        <v>15 Days or less</v>
      </c>
      <c r="M28" s="4" t="str">
        <f>IFERROR(__xludf.DUMMYFUNCTION("""COMPUTED_VALUE"""),"•SOC Analyst with 4 years of hands-on experience in SIEM alert monitoring, L1 triage, phishing investigations, malware indicator analysis, and suspicious login review.
 •Skilled in Azure Sentinel, Splunk, IBM QRadar, Microsoft Defender, CrowdStrike.")</f>
        <v>•SOC Analyst with 4 years of hands-on experience in SIEM alert monitoring, L1 triage, phishing investigations, malware indicator analysis, and suspicious login review.
 •Skilled in Azure Sentinel, Splunk, IBM QRadar, Microsoft Defender, CrowdStrike.</v>
      </c>
      <c r="N28" s="4" t="str">
        <f>IFERROR(__xludf.DUMMYFUNCTION("""COMPUTED_VALUE"""),"B.Tech / B.E.")</f>
        <v>B.Tech / B.E.</v>
      </c>
      <c r="O28" s="4" t="str">
        <f>IFERROR(__xludf.DUMMYFUNCTION("""COMPUTED_VALUE"""),"Jawaharlal Nehru Technological University (JNTU)")</f>
        <v>Jawaharlal Nehru Technological University (JNTU)</v>
      </c>
      <c r="P28" s="4" t="str">
        <f>IFERROR(__xludf.DUMMYFUNCTION("""COMPUTED_VALUE"""),"NA")</f>
        <v>NA</v>
      </c>
      <c r="Q28" s="4" t="str">
        <f>IFERROR(__xludf.DUMMYFUNCTION("""COMPUTED_VALUE"""),"NA")</f>
        <v>NA</v>
      </c>
      <c r="R28" s="4" t="str">
        <f>IFERROR(__xludf.DUMMYFUNCTION("""COMPUTED_VALUE"""),"NA")</f>
        <v>NA</v>
      </c>
      <c r="S28" s="4" t="str">
        <f>IFERROR(__xludf.DUMMYFUNCTION("""COMPUTED_VALUE"""),"NA")</f>
        <v>NA</v>
      </c>
      <c r="T28" s="4" t="str">
        <f>IFERROR(__xludf.DUMMYFUNCTION("""COMPUTED_VALUE"""),"Male")</f>
        <v>Male</v>
      </c>
      <c r="U28" s="4" t="str">
        <f>IFERROR(__xludf.DUMMYFUNCTION("""COMPUTED_VALUE"""),"Hyderabad")</f>
        <v>Hyderabad</v>
      </c>
      <c r="V28" s="12">
        <f>IFERROR(__xludf.DUMMYFUNCTION("""COMPUTED_VALUE"""),33799.0)</f>
        <v>33799</v>
      </c>
      <c r="W28" s="4" t="str">
        <f>IFERROR(__xludf.DUMMYFUNCTION("""COMPUTED_VALUE"""),"NA")</f>
        <v>NA</v>
      </c>
      <c r="X28" s="4" t="str">
        <f>IFERROR(__xludf.DUMMYFUNCTION("""COMPUTED_VALUE"""),"NA")</f>
        <v>NA</v>
      </c>
      <c r="Y28" s="4" t="str">
        <f>IFERROR(__xludf.DUMMYFUNCTION("""COMPUTED_VALUE"""),"NA")</f>
        <v>NA</v>
      </c>
      <c r="Z28" s="4" t="str">
        <f>IFERROR(__xludf.DUMMYFUNCTION("""COMPUTED_VALUE"""),"NA")</f>
        <v>NA</v>
      </c>
      <c r="AA28" s="4" t="str">
        <f>IFERROR(__xludf.DUMMYFUNCTION("""COMPUTED_VALUE"""),"NA")</f>
        <v>NA</v>
      </c>
      <c r="AB28" s="4" t="str">
        <f>IFERROR(__xludf.DUMMYFUNCTION("""COMPUTED_VALUE"""),"NA")</f>
        <v>NA</v>
      </c>
      <c r="AC28" s="4" t="str">
        <f>IFERROR(__xludf.DUMMYFUNCTION("""COMPUTED_VALUE"""),"soc analyst,threat hunting,vulnerability management")</f>
        <v>soc analyst,threat hunting,vulnerability management</v>
      </c>
      <c r="AD28" s="4">
        <f>IFERROR(__xludf.DUMMYFUNCTION("""COMPUTED_VALUE"""),3.0)</f>
        <v>3</v>
      </c>
      <c r="AE28" s="4">
        <f>IFERROR(__xludf.DUMMYFUNCTION("""COMPUTED_VALUE"""),3.0)</f>
        <v>3</v>
      </c>
      <c r="AF28" s="4">
        <f>IFERROR(__xludf.DUMMYFUNCTION("""COMPUTED_VALUE"""),3.0)</f>
        <v>3</v>
      </c>
      <c r="AG28" s="4">
        <f>IFERROR(__xludf.DUMMYFUNCTION("""COMPUTED_VALUE"""),850000.0)</f>
        <v>850000</v>
      </c>
      <c r="AH28" s="4" t="str">
        <f>IFERROR(__xludf.DUMMYFUNCTION("""COMPUTED_VALUE"""),"15 Days or less")</f>
        <v>15 Days or less</v>
      </c>
      <c r="AI28" s="4" t="str">
        <f>IFERROR(__xludf.DUMMYFUNCTION("""COMPUTED_VALUE"""),"Yes")</f>
        <v>Yes</v>
      </c>
      <c r="AJ28" s="4">
        <f>IFERROR(__xludf.DUMMYFUNCTION("""COMPUTED_VALUE"""),500200.0)</f>
        <v>500200</v>
      </c>
      <c r="AK28" s="7" t="str">
        <f>IFERROR(__xludf.DUMMYFUNCTION("""COMPUTED_VALUE"""),"View profile")</f>
        <v>View profile</v>
      </c>
    </row>
    <row r="29">
      <c r="A29" s="4" t="str">
        <f>IFERROR(__xludf.DUMMYFUNCTION("""COMPUTED_VALUE"""),"TREND MICRO L2 Engineer")</f>
        <v>TREND MICRO L2 Engineer</v>
      </c>
      <c r="B29" s="6">
        <f>IFERROR(__xludf.DUMMYFUNCTION("""COMPUTED_VALUE"""),46267.0)</f>
        <v>46267</v>
      </c>
      <c r="C29" s="4" t="str">
        <f>IFERROR(__xludf.DUMMYFUNCTION("""COMPUTED_VALUE"""),"Sakshi Pandey Cybersecurity")</f>
        <v>Sakshi Pandey Cybersecurity</v>
      </c>
      <c r="D29" s="4" t="str">
        <f>IFERROR(__xludf.DUMMYFUNCTION("""COMPUTED_VALUE"""),"sakshipandeysp2112@gmail.com, sakshipandeysp2112@gmail.com")</f>
        <v>sakshipandeysp2112@gmail.com, sakshipandeysp2112@gmail.com</v>
      </c>
      <c r="E29" s="4">
        <f>IFERROR(__xludf.DUMMYFUNCTION("""COMPUTED_VALUE"""),7.828438017E9)</f>
        <v>7828438017</v>
      </c>
      <c r="F29" s="4" t="str">
        <f>IFERROR(__xludf.DUMMYFUNCTION("""COMPUTED_VALUE"""),"Pune")</f>
        <v>Pune</v>
      </c>
      <c r="G29" s="4" t="str">
        <f>IFERROR(__xludf.DUMMYFUNCTION("""COMPUTED_VALUE"""),"Pune, Remote, Mumbai, Ahmedabad, Bengaluru, Hyderabad, Noida, Gurugram, Delhi / NCR, Chennai")</f>
        <v>Pune, Remote, Mumbai, Ahmedabad, Bengaluru, Hyderabad, Noida, Gurugram, Delhi / NCR, Chennai</v>
      </c>
      <c r="H29" s="4" t="str">
        <f>IFERROR(__xludf.DUMMYFUNCTION("""COMPUTED_VALUE"""),"2 Year(s) 7 Month(s)")</f>
        <v>2 Year(s) 7 Month(s)</v>
      </c>
      <c r="I29" s="4" t="str">
        <f>IFERROR(__xludf.DUMMYFUNCTION("""COMPUTED_VALUE"""),"Tata Consultancy Services")</f>
        <v>Tata Consultancy Services</v>
      </c>
      <c r="J29" s="4" t="str">
        <f>IFERROR(__xludf.DUMMYFUNCTION("""COMPUTED_VALUE"""),"Analyst")</f>
        <v>Analyst</v>
      </c>
      <c r="K29" s="4" t="str">
        <f>IFERROR(__xludf.DUMMYFUNCTION("""COMPUTED_VALUE"""),"Rs 3 Lakhs")</f>
        <v>Rs 3 Lakhs</v>
      </c>
      <c r="L29" s="4" t="str">
        <f>IFERROR(__xludf.DUMMYFUNCTION("""COMPUTED_VALUE"""),"Serving Notice Period")</f>
        <v>Serving Notice Period</v>
      </c>
      <c r="M29" s="4" t="str">
        <f>IFERROR(__xludf.DUMMYFUNCTION("""COMPUTED_VALUE"""),"Cybersecurit Analyst with around3 years in Cybersecurity, skilled in Microsoft Sentinel,CortexXDR,IR,Threat Analysis, and tools like Azure, AWS, and Palo Alto Networks adept at monitoring &amp; triaging security alert in dynamic Security environments.")</f>
        <v>Cybersecurit Analyst with around3 years in Cybersecurity, skilled in Microsoft Sentinel,CortexXDR,IR,Threat Analysis, and tools like Azure, AWS, and Palo Alto Networks adept at monitoring &amp; triaging security alert in dynamic Security environments.</v>
      </c>
      <c r="N29" s="7" t="str">
        <f>IFERROR(__xludf.DUMMYFUNCTION("""COMPUTED_VALUE"""),"B.Sc")</f>
        <v>B.Sc</v>
      </c>
      <c r="O29" s="4" t="str">
        <f>IFERROR(__xludf.DUMMYFUNCTION("""COMPUTED_VALUE"""),"mcbu chattArpur")</f>
        <v>mcbu chattArpur</v>
      </c>
      <c r="P29" s="4" t="str">
        <f>IFERROR(__xludf.DUMMYFUNCTION("""COMPUTED_VALUE"""),"Computers")</f>
        <v>Computers</v>
      </c>
      <c r="Q29" s="4" t="str">
        <f>IFERROR(__xludf.DUMMYFUNCTION("""COMPUTED_VALUE"""),"Rajiv Gandhi Proudyogiki Vishwavidyalaya (RGPV), Bhopal")</f>
        <v>Rajiv Gandhi Proudyogiki Vishwavidyalaya (RGPV), Bhopal</v>
      </c>
      <c r="R29" s="4" t="str">
        <f>IFERROR(__xludf.DUMMYFUNCTION("""COMPUTED_VALUE"""),"NA")</f>
        <v>NA</v>
      </c>
      <c r="S29" s="4" t="str">
        <f>IFERROR(__xludf.DUMMYFUNCTION("""COMPUTED_VALUE"""),"NA")</f>
        <v>NA</v>
      </c>
      <c r="T29" s="4" t="str">
        <f>IFERROR(__xludf.DUMMYFUNCTION("""COMPUTED_VALUE"""),"Female")</f>
        <v>Female</v>
      </c>
      <c r="U29" s="4" t="str">
        <f>IFERROR(__xludf.DUMMYFUNCTION("""COMPUTED_VALUE"""),"Damoh")</f>
        <v>Damoh</v>
      </c>
      <c r="V29" s="12">
        <f>IFERROR(__xludf.DUMMYFUNCTION("""COMPUTED_VALUE"""),37277.0)</f>
        <v>37277</v>
      </c>
      <c r="W29" s="4" t="str">
        <f>IFERROR(__xludf.DUMMYFUNCTION("""COMPUTED_VALUE"""),"Rejected")</f>
        <v>Rejected</v>
      </c>
      <c r="X29" s="4" t="str">
        <f>IFERROR(__xludf.DUMMYFUNCTION("""COMPUTED_VALUE"""),"Not Applicable - F")</f>
        <v>Not Applicable - F</v>
      </c>
      <c r="Y29" s="4" t="str">
        <f>IFERROR(__xludf.DUMMYFUNCTION("""COMPUTED_VALUE"""),"NA")</f>
        <v>NA</v>
      </c>
      <c r="Z29" s="4" t="str">
        <f>IFERROR(__xludf.DUMMYFUNCTION("""COMPUTED_VALUE"""),"NA")</f>
        <v>NA</v>
      </c>
      <c r="AA29" s="4" t="str">
        <f>IFERROR(__xludf.DUMMYFUNCTION("""COMPUTED_VALUE"""),"NA")</f>
        <v>NA</v>
      </c>
      <c r="AB29" s="4" t="str">
        <f>IFERROR(__xludf.DUMMYFUNCTION("""COMPUTED_VALUE"""),"NA")</f>
        <v>NA</v>
      </c>
      <c r="AC29" s="4" t="str">
        <f>IFERROR(__xludf.DUMMYFUNCTION("""COMPUTED_VALUE"""),"Azure Sentinel")</f>
        <v>Azure Sentinel</v>
      </c>
      <c r="AD29" s="4">
        <f>IFERROR(__xludf.DUMMYFUNCTION("""COMPUTED_VALUE"""),2.0)</f>
        <v>2</v>
      </c>
      <c r="AE29" s="4">
        <f>IFERROR(__xludf.DUMMYFUNCTION("""COMPUTED_VALUE"""),2.0)</f>
        <v>2</v>
      </c>
      <c r="AF29" s="4">
        <f>IFERROR(__xludf.DUMMYFUNCTION("""COMPUTED_VALUE"""),2.0)</f>
        <v>2</v>
      </c>
      <c r="AG29" s="4">
        <f>IFERROR(__xludf.DUMMYFUNCTION("""COMPUTED_VALUE"""),1200000.0)</f>
        <v>1200000</v>
      </c>
      <c r="AH29" s="4" t="str">
        <f>IFERROR(__xludf.DUMMYFUNCTION("""COMPUTED_VALUE"""),"Serving Notice Period")</f>
        <v>Serving Notice Period</v>
      </c>
      <c r="AI29" s="4" t="str">
        <f>IFERROR(__xludf.DUMMYFUNCTION("""COMPUTED_VALUE"""),"Yes")</f>
        <v>Yes</v>
      </c>
      <c r="AJ29" s="4">
        <f>IFERROR(__xludf.DUMMYFUNCTION("""COMPUTED_VALUE"""),300000.0)</f>
        <v>300000</v>
      </c>
      <c r="AK29" s="7" t="str">
        <f>IFERROR(__xludf.DUMMYFUNCTION("""COMPUTED_VALUE"""),"View profile")</f>
        <v>View profile</v>
      </c>
    </row>
    <row r="30">
      <c r="A30" s="4" t="str">
        <f>IFERROR(__xludf.DUMMYFUNCTION("""COMPUTED_VALUE"""),"TREND MICRO L2 Engineer")</f>
        <v>TREND MICRO L2 Engineer</v>
      </c>
      <c r="B30" s="6">
        <f>IFERROR(__xludf.DUMMYFUNCTION("""COMPUTED_VALUE"""),46267.0)</f>
        <v>46267</v>
      </c>
      <c r="C30" s="4" t="str">
        <f>IFERROR(__xludf.DUMMYFUNCTION("""COMPUTED_VALUE"""),"Lakshmi Narasimha Dadi")</f>
        <v>Lakshmi Narasimha Dadi</v>
      </c>
      <c r="D30" s="4" t="str">
        <f>IFERROR(__xludf.DUMMYFUNCTION("""COMPUTED_VALUE"""),"lakshminarasimhadadi@gmail.com")</f>
        <v>lakshminarasimhadadi@gmail.com</v>
      </c>
      <c r="E30" s="4">
        <f>IFERROR(__xludf.DUMMYFUNCTION("""COMPUTED_VALUE"""),7.036489246E9)</f>
        <v>7036489246</v>
      </c>
      <c r="F30" s="4" t="str">
        <f>IFERROR(__xludf.DUMMYFUNCTION("""COMPUTED_VALUE"""),"Hyderabad")</f>
        <v>Hyderabad</v>
      </c>
      <c r="G30" s="4" t="str">
        <f>IFERROR(__xludf.DUMMYFUNCTION("""COMPUTED_VALUE"""),"Hyderabad, Remote, Bengaluru, Mumbai, Pune, Noida, Ahmedabad, Gurugram, Kolkata, Delhi / NCR")</f>
        <v>Hyderabad, Remote, Bengaluru, Mumbai, Pune, Noida, Ahmedabad, Gurugram, Kolkata, Delhi / NCR</v>
      </c>
      <c r="H30" s="4" t="str">
        <f>IFERROR(__xludf.DUMMYFUNCTION("""COMPUTED_VALUE"""),"3 Year(s) 2 Month(s)")</f>
        <v>3 Year(s) 2 Month(s)</v>
      </c>
      <c r="I30" s="4" t="str">
        <f>IFERROR(__xludf.DUMMYFUNCTION("""COMPUTED_VALUE"""),"LG Soft India")</f>
        <v>LG Soft India</v>
      </c>
      <c r="J30" s="4" t="str">
        <f>IFERROR(__xludf.DUMMYFUNCTION("""COMPUTED_VALUE"""),"SOC Analyst L1")</f>
        <v>SOC Analyst L1</v>
      </c>
      <c r="K30" s="4" t="str">
        <f>IFERROR(__xludf.DUMMYFUNCTION("""COMPUTED_VALUE"""),"Rs 4 Lakhs")</f>
        <v>Rs 4 Lakhs</v>
      </c>
      <c r="L30" s="4" t="str">
        <f>IFERROR(__xludf.DUMMYFUNCTION("""COMPUTED_VALUE"""),"15 Days or less")</f>
        <v>15 Days or less</v>
      </c>
      <c r="M30" s="4" t="str">
        <f>IFERROR(__xludf.DUMMYFUNCTION("""COMPUTED_VALUE"""),"SOC Analyst | 3+ Years | Immediate Joiner |Splunk | Microsoft Sentinel | Q Radar | Crowd Strike | Nist | Threat Analysis | Threat Hunting | Threat Intelligence | Security Operations | Malware Analysis | Log Analysis | Threat Detection |phishing.")</f>
        <v>SOC Analyst | 3+ Years | Immediate Joiner |Splunk | Microsoft Sentinel | Q Radar | Crowd Strike | Nist | Threat Analysis | Threat Hunting | Threat Intelligence | Security Operations | Malware Analysis | Log Analysis | Threat Detection |phishing.</v>
      </c>
      <c r="N30" s="4" t="str">
        <f>IFERROR(__xludf.DUMMYFUNCTION("""COMPUTED_VALUE"""),"B.C.A.")</f>
        <v>B.C.A.</v>
      </c>
      <c r="O30" s="4" t="str">
        <f>IFERROR(__xludf.DUMMYFUNCTION("""COMPUTED_VALUE"""),"Nagarjuna University")</f>
        <v>Nagarjuna University</v>
      </c>
      <c r="P30" s="4" t="str">
        <f>IFERROR(__xludf.DUMMYFUNCTION("""COMPUTED_VALUE"""),"NA")</f>
        <v>NA</v>
      </c>
      <c r="Q30" s="4" t="str">
        <f>IFERROR(__xludf.DUMMYFUNCTION("""COMPUTED_VALUE"""),"NA")</f>
        <v>NA</v>
      </c>
      <c r="R30" s="4" t="str">
        <f>IFERROR(__xludf.DUMMYFUNCTION("""COMPUTED_VALUE"""),"NA")</f>
        <v>NA</v>
      </c>
      <c r="S30" s="4" t="str">
        <f>IFERROR(__xludf.DUMMYFUNCTION("""COMPUTED_VALUE"""),"NA")</f>
        <v>NA</v>
      </c>
      <c r="T30" s="4" t="str">
        <f>IFERROR(__xludf.DUMMYFUNCTION("""COMPUTED_VALUE"""),"Male")</f>
        <v>Male</v>
      </c>
      <c r="U30" s="4" t="str">
        <f>IFERROR(__xludf.DUMMYFUNCTION("""COMPUTED_VALUE"""),"NA")</f>
        <v>NA</v>
      </c>
      <c r="V30" s="16">
        <f>IFERROR(__xludf.DUMMYFUNCTION("""COMPUTED_VALUE"""),37763.0)</f>
        <v>37763</v>
      </c>
      <c r="W30" s="4" t="str">
        <f>IFERROR(__xludf.DUMMYFUNCTION("""COMPUTED_VALUE"""),"NA")</f>
        <v>NA</v>
      </c>
      <c r="X30" s="4" t="str">
        <f>IFERROR(__xludf.DUMMYFUNCTION("""COMPUTED_VALUE"""),"NA")</f>
        <v>NA</v>
      </c>
      <c r="Y30" s="4" t="str">
        <f>IFERROR(__xludf.DUMMYFUNCTION("""COMPUTED_VALUE"""),"NA")</f>
        <v>NA</v>
      </c>
      <c r="Z30" s="4" t="str">
        <f>IFERROR(__xludf.DUMMYFUNCTION("""COMPUTED_VALUE"""),"NA")</f>
        <v>NA</v>
      </c>
      <c r="AA30" s="4" t="str">
        <f>IFERROR(__xludf.DUMMYFUNCTION("""COMPUTED_VALUE"""),"NA")</f>
        <v>NA</v>
      </c>
      <c r="AB30" s="4" t="str">
        <f>IFERROR(__xludf.DUMMYFUNCTION("""COMPUTED_VALUE"""),"NA")</f>
        <v>NA</v>
      </c>
      <c r="AC30" s="4" t="str">
        <f>IFERROR(__xludf.DUMMYFUNCTION("""COMPUTED_VALUE"""),"SOC")</f>
        <v>SOC</v>
      </c>
      <c r="AD30" s="4">
        <f>IFERROR(__xludf.DUMMYFUNCTION("""COMPUTED_VALUE"""),3.0)</f>
        <v>3</v>
      </c>
      <c r="AE30" s="4">
        <f>IFERROR(__xludf.DUMMYFUNCTION("""COMPUTED_VALUE"""),3.0)</f>
        <v>3</v>
      </c>
      <c r="AF30" s="4">
        <f>IFERROR(__xludf.DUMMYFUNCTION("""COMPUTED_VALUE"""),3.0)</f>
        <v>3</v>
      </c>
      <c r="AG30" s="4">
        <f>IFERROR(__xludf.DUMMYFUNCTION("""COMPUTED_VALUE"""),600000.0)</f>
        <v>600000</v>
      </c>
      <c r="AH30" s="4" t="str">
        <f>IFERROR(__xludf.DUMMYFUNCTION("""COMPUTED_VALUE"""),"15 Days or less")</f>
        <v>15 Days or less</v>
      </c>
      <c r="AI30" s="4" t="str">
        <f>IFERROR(__xludf.DUMMYFUNCTION("""COMPUTED_VALUE"""),"Yes")</f>
        <v>Yes</v>
      </c>
      <c r="AJ30" s="4">
        <f>IFERROR(__xludf.DUMMYFUNCTION("""COMPUTED_VALUE"""),400000.0)</f>
        <v>400000</v>
      </c>
      <c r="AK30" s="7" t="str">
        <f>IFERROR(__xludf.DUMMYFUNCTION("""COMPUTED_VALUE"""),"View profile")</f>
        <v>View profile</v>
      </c>
    </row>
    <row r="31">
      <c r="A31" s="4" t="str">
        <f>IFERROR(__xludf.DUMMYFUNCTION("""COMPUTED_VALUE"""),"TREND MICRO L2 Engineer")</f>
        <v>TREND MICRO L2 Engineer</v>
      </c>
      <c r="B31" s="6">
        <f>IFERROR(__xludf.DUMMYFUNCTION("""COMPUTED_VALUE"""),46267.0)</f>
        <v>46267</v>
      </c>
      <c r="C31" s="4" t="str">
        <f>IFERROR(__xludf.DUMMYFUNCTION("""COMPUTED_VALUE"""),"Shubham Kumar Taware")</f>
        <v>Shubham Kumar Taware</v>
      </c>
      <c r="D31" s="4" t="str">
        <f>IFERROR(__xludf.DUMMYFUNCTION("""COMPUTED_VALUE"""),"shubham.taware4141@gmail.com, shubham.taware4141@gmail.com")</f>
        <v>shubham.taware4141@gmail.com, shubham.taware4141@gmail.com</v>
      </c>
      <c r="E31" s="4">
        <f>IFERROR(__xludf.DUMMYFUNCTION("""COMPUTED_VALUE"""),9.975888759E9)</f>
        <v>9975888759</v>
      </c>
      <c r="F31" s="4" t="str">
        <f>IFERROR(__xludf.DUMMYFUNCTION("""COMPUTED_VALUE"""),"Pune")</f>
        <v>Pune</v>
      </c>
      <c r="G31" s="4" t="str">
        <f>IFERROR(__xludf.DUMMYFUNCTION("""COMPUTED_VALUE"""),"Pune, Mumbai, Remote, Kolkata, Ahmedabad, Noida, Gurugram, Hyderabad, Chennai, Bengaluru")</f>
        <v>Pune, Mumbai, Remote, Kolkata, Ahmedabad, Noida, Gurugram, Hyderabad, Chennai, Bengaluru</v>
      </c>
      <c r="H31" s="4" t="str">
        <f>IFERROR(__xludf.DUMMYFUNCTION("""COMPUTED_VALUE"""),"3 Year(s) 2 Month(s)")</f>
        <v>3 Year(s) 2 Month(s)</v>
      </c>
      <c r="I31" s="7" t="str">
        <f>IFERROR(__xludf.DUMMYFUNCTION("""COMPUTED_VALUE"""),"Gruve.ai")</f>
        <v>Gruve.ai</v>
      </c>
      <c r="J31" s="4" t="str">
        <f>IFERROR(__xludf.DUMMYFUNCTION("""COMPUTED_VALUE"""),"Security Analyst")</f>
        <v>Security Analyst</v>
      </c>
      <c r="K31" s="4" t="str">
        <f>IFERROR(__xludf.DUMMYFUNCTION("""COMPUTED_VALUE"""),"Rs 6.50 Lakhs")</f>
        <v>Rs 6.50 Lakhs</v>
      </c>
      <c r="L31" s="4" t="str">
        <f>IFERROR(__xludf.DUMMYFUNCTION("""COMPUTED_VALUE"""),"Serving Notice Period")</f>
        <v>Serving Notice Period</v>
      </c>
      <c r="M31" s="4" t="str">
        <f>IFERROR(__xludf.DUMMYFUNCTION("""COMPUTED_VALUE"""),"Cyber Security Analyst | SOC Monitoring &amp; Threat Detection Expert")</f>
        <v>Cyber Security Analyst | SOC Monitoring &amp; Threat Detection Expert</v>
      </c>
      <c r="N31" s="4" t="str">
        <f>IFERROR(__xludf.DUMMYFUNCTION("""COMPUTED_VALUE"""),"B.Tech / B.E.")</f>
        <v>B.Tech / B.E.</v>
      </c>
      <c r="O31" s="4" t="str">
        <f>IFERROR(__xludf.DUMMYFUNCTION("""COMPUTED_VALUE"""),"SVPM's COE Malegaon")</f>
        <v>SVPM's COE Malegaon</v>
      </c>
      <c r="P31" s="4" t="str">
        <f>IFERROR(__xludf.DUMMYFUNCTION("""COMPUTED_VALUE"""),"NA")</f>
        <v>NA</v>
      </c>
      <c r="Q31" s="4" t="str">
        <f>IFERROR(__xludf.DUMMYFUNCTION("""COMPUTED_VALUE"""),"NA")</f>
        <v>NA</v>
      </c>
      <c r="R31" s="4" t="str">
        <f>IFERROR(__xludf.DUMMYFUNCTION("""COMPUTED_VALUE"""),"NA")</f>
        <v>NA</v>
      </c>
      <c r="S31" s="4" t="str">
        <f>IFERROR(__xludf.DUMMYFUNCTION("""COMPUTED_VALUE"""),"NA")</f>
        <v>NA</v>
      </c>
      <c r="T31" s="4" t="str">
        <f>IFERROR(__xludf.DUMMYFUNCTION("""COMPUTED_VALUE"""),"Male")</f>
        <v>Male</v>
      </c>
      <c r="U31" s="4" t="str">
        <f>IFERROR(__xludf.DUMMYFUNCTION("""COMPUTED_VALUE"""),"NA")</f>
        <v>NA</v>
      </c>
      <c r="V31" s="12">
        <f>IFERROR(__xludf.DUMMYFUNCTION("""COMPUTED_VALUE"""),35230.0)</f>
        <v>35230</v>
      </c>
      <c r="W31" s="4" t="str">
        <f>IFERROR(__xludf.DUMMYFUNCTION("""COMPUTED_VALUE"""),"NA")</f>
        <v>NA</v>
      </c>
      <c r="X31" s="4" t="str">
        <f>IFERROR(__xludf.DUMMYFUNCTION("""COMPUTED_VALUE"""),"NA")</f>
        <v>NA</v>
      </c>
      <c r="Y31" s="4" t="str">
        <f>IFERROR(__xludf.DUMMYFUNCTION("""COMPUTED_VALUE"""),"NA")</f>
        <v>NA</v>
      </c>
      <c r="Z31" s="4" t="str">
        <f>IFERROR(__xludf.DUMMYFUNCTION("""COMPUTED_VALUE"""),"NA")</f>
        <v>NA</v>
      </c>
      <c r="AA31" s="4" t="str">
        <f>IFERROR(__xludf.DUMMYFUNCTION("""COMPUTED_VALUE"""),"NA")</f>
        <v>NA</v>
      </c>
      <c r="AB31" s="4" t="str">
        <f>IFERROR(__xludf.DUMMYFUNCTION("""COMPUTED_VALUE"""),"NA")</f>
        <v>NA</v>
      </c>
      <c r="AC31" s="4" t="str">
        <f>IFERROR(__xludf.DUMMYFUNCTION("""COMPUTED_VALUE"""),"IBM Qradar, Azur sentinal, defender, sumologic, WAF,Crowdstrike, jira")</f>
        <v>IBM Qradar, Azur sentinal, defender, sumologic, WAF,Crowdstrike, jira</v>
      </c>
      <c r="AD31" s="4">
        <f>IFERROR(__xludf.DUMMYFUNCTION("""COMPUTED_VALUE"""),3.0)</f>
        <v>3</v>
      </c>
      <c r="AE31" s="4" t="str">
        <f>IFERROR(__xludf.DUMMYFUNCTION("""COMPUTED_VALUE"""),"No")</f>
        <v>No</v>
      </c>
      <c r="AF31" s="4">
        <f>IFERROR(__xludf.DUMMYFUNCTION("""COMPUTED_VALUE"""),3.0)</f>
        <v>3</v>
      </c>
      <c r="AG31" s="4">
        <f>IFERROR(__xludf.DUMMYFUNCTION("""COMPUTED_VALUE"""),800000.0)</f>
        <v>800000</v>
      </c>
      <c r="AH31" s="4" t="str">
        <f>IFERROR(__xludf.DUMMYFUNCTION("""COMPUTED_VALUE"""),"Serving Notice Period")</f>
        <v>Serving Notice Period</v>
      </c>
      <c r="AI31" s="4" t="str">
        <f>IFERROR(__xludf.DUMMYFUNCTION("""COMPUTED_VALUE"""),"Yes")</f>
        <v>Yes</v>
      </c>
      <c r="AJ31" s="4">
        <f>IFERROR(__xludf.DUMMYFUNCTION("""COMPUTED_VALUE"""),650000.0)</f>
        <v>650000</v>
      </c>
      <c r="AK31" s="7" t="str">
        <f>IFERROR(__xludf.DUMMYFUNCTION("""COMPUTED_VALUE"""),"View profile")</f>
        <v>View profile</v>
      </c>
    </row>
    <row r="32">
      <c r="A32" s="4" t="str">
        <f>IFERROR(__xludf.DUMMYFUNCTION("""COMPUTED_VALUE"""),"TREND MICRO L2 Engineer")</f>
        <v>TREND MICRO L2 Engineer</v>
      </c>
      <c r="B32" s="6">
        <f>IFERROR(__xludf.DUMMYFUNCTION("""COMPUTED_VALUE"""),46267.0)</f>
        <v>46267</v>
      </c>
      <c r="C32" s="4" t="str">
        <f>IFERROR(__xludf.DUMMYFUNCTION("""COMPUTED_VALUE"""),"Shubham Kumar Taware")</f>
        <v>Shubham Kumar Taware</v>
      </c>
      <c r="D32" s="4" t="str">
        <f>IFERROR(__xludf.DUMMYFUNCTION("""COMPUTED_VALUE"""),"shubham.taware4141@gmail.com, shubham.taware4141@gmail.com")</f>
        <v>shubham.taware4141@gmail.com, shubham.taware4141@gmail.com</v>
      </c>
      <c r="E32" s="4">
        <f>IFERROR(__xludf.DUMMYFUNCTION("""COMPUTED_VALUE"""),9.975888759E9)</f>
        <v>9975888759</v>
      </c>
      <c r="F32" s="4" t="str">
        <f>IFERROR(__xludf.DUMMYFUNCTION("""COMPUTED_VALUE"""),"Pune")</f>
        <v>Pune</v>
      </c>
      <c r="G32" s="4" t="str">
        <f>IFERROR(__xludf.DUMMYFUNCTION("""COMPUTED_VALUE"""),"Pune, Mumbai, Remote, Kolkata, Ahmedabad, Noida, Gurugram, Hyderabad, Chennai, Bengaluru")</f>
        <v>Pune, Mumbai, Remote, Kolkata, Ahmedabad, Noida, Gurugram, Hyderabad, Chennai, Bengaluru</v>
      </c>
      <c r="H32" s="4" t="str">
        <f>IFERROR(__xludf.DUMMYFUNCTION("""COMPUTED_VALUE"""),"3 Year(s) 2 Month(s)")</f>
        <v>3 Year(s) 2 Month(s)</v>
      </c>
      <c r="I32" s="7" t="str">
        <f>IFERROR(__xludf.DUMMYFUNCTION("""COMPUTED_VALUE"""),"Gruve.ai")</f>
        <v>Gruve.ai</v>
      </c>
      <c r="J32" s="4" t="str">
        <f>IFERROR(__xludf.DUMMYFUNCTION("""COMPUTED_VALUE"""),"Security Analyst")</f>
        <v>Security Analyst</v>
      </c>
      <c r="K32" s="4" t="str">
        <f>IFERROR(__xludf.DUMMYFUNCTION("""COMPUTED_VALUE"""),"Rs 6.50 Lakhs")</f>
        <v>Rs 6.50 Lakhs</v>
      </c>
      <c r="L32" s="4" t="str">
        <f>IFERROR(__xludf.DUMMYFUNCTION("""COMPUTED_VALUE"""),"Serving Notice Period")</f>
        <v>Serving Notice Period</v>
      </c>
      <c r="M32" s="4" t="str">
        <f>IFERROR(__xludf.DUMMYFUNCTION("""COMPUTED_VALUE"""),"Cyber Security Analyst | SOC Monitoring &amp; Threat Detection Expert")</f>
        <v>Cyber Security Analyst | SOC Monitoring &amp; Threat Detection Expert</v>
      </c>
      <c r="N32" s="4" t="str">
        <f>IFERROR(__xludf.DUMMYFUNCTION("""COMPUTED_VALUE"""),"B.Tech / B.E.")</f>
        <v>B.Tech / B.E.</v>
      </c>
      <c r="O32" s="4" t="str">
        <f>IFERROR(__xludf.DUMMYFUNCTION("""COMPUTED_VALUE"""),"SVPM's COE Malegaon")</f>
        <v>SVPM's COE Malegaon</v>
      </c>
      <c r="P32" s="4" t="str">
        <f>IFERROR(__xludf.DUMMYFUNCTION("""COMPUTED_VALUE"""),"NA")</f>
        <v>NA</v>
      </c>
      <c r="Q32" s="4" t="str">
        <f>IFERROR(__xludf.DUMMYFUNCTION("""COMPUTED_VALUE"""),"NA")</f>
        <v>NA</v>
      </c>
      <c r="R32" s="4" t="str">
        <f>IFERROR(__xludf.DUMMYFUNCTION("""COMPUTED_VALUE"""),"NA")</f>
        <v>NA</v>
      </c>
      <c r="S32" s="4" t="str">
        <f>IFERROR(__xludf.DUMMYFUNCTION("""COMPUTED_VALUE"""),"NA")</f>
        <v>NA</v>
      </c>
      <c r="T32" s="4" t="str">
        <f>IFERROR(__xludf.DUMMYFUNCTION("""COMPUTED_VALUE"""),"Male")</f>
        <v>Male</v>
      </c>
      <c r="U32" s="4" t="str">
        <f>IFERROR(__xludf.DUMMYFUNCTION("""COMPUTED_VALUE"""),"NA")</f>
        <v>NA</v>
      </c>
      <c r="V32" s="12">
        <f>IFERROR(__xludf.DUMMYFUNCTION("""COMPUTED_VALUE"""),35230.0)</f>
        <v>35230</v>
      </c>
      <c r="W32" s="4" t="str">
        <f>IFERROR(__xludf.DUMMYFUNCTION("""COMPUTED_VALUE"""),"NA")</f>
        <v>NA</v>
      </c>
      <c r="X32" s="4" t="str">
        <f>IFERROR(__xludf.DUMMYFUNCTION("""COMPUTED_VALUE"""),"NA")</f>
        <v>NA</v>
      </c>
      <c r="Y32" s="4" t="str">
        <f>IFERROR(__xludf.DUMMYFUNCTION("""COMPUTED_VALUE"""),"NA")</f>
        <v>NA</v>
      </c>
      <c r="Z32" s="4" t="str">
        <f>IFERROR(__xludf.DUMMYFUNCTION("""COMPUTED_VALUE"""),"NA")</f>
        <v>NA</v>
      </c>
      <c r="AA32" s="4" t="str">
        <f>IFERROR(__xludf.DUMMYFUNCTION("""COMPUTED_VALUE"""),"NA")</f>
        <v>NA</v>
      </c>
      <c r="AB32" s="4" t="str">
        <f>IFERROR(__xludf.DUMMYFUNCTION("""COMPUTED_VALUE"""),"NA")</f>
        <v>NA</v>
      </c>
      <c r="AC32" s="4" t="str">
        <f>IFERROR(__xludf.DUMMYFUNCTION("""COMPUTED_VALUE"""),"IBM Qradar, Azur sentinal, defender, sumologic, WAF,Crowdstrike, jira")</f>
        <v>IBM Qradar, Azur sentinal, defender, sumologic, WAF,Crowdstrike, jira</v>
      </c>
      <c r="AD32" s="4">
        <f>IFERROR(__xludf.DUMMYFUNCTION("""COMPUTED_VALUE"""),3.0)</f>
        <v>3</v>
      </c>
      <c r="AE32" s="4" t="str">
        <f>IFERROR(__xludf.DUMMYFUNCTION("""COMPUTED_VALUE"""),"No")</f>
        <v>No</v>
      </c>
      <c r="AF32" s="4">
        <f>IFERROR(__xludf.DUMMYFUNCTION("""COMPUTED_VALUE"""),3.0)</f>
        <v>3</v>
      </c>
      <c r="AG32" s="4">
        <f>IFERROR(__xludf.DUMMYFUNCTION("""COMPUTED_VALUE"""),800000.0)</f>
        <v>800000</v>
      </c>
      <c r="AH32" s="4" t="str">
        <f>IFERROR(__xludf.DUMMYFUNCTION("""COMPUTED_VALUE"""),"Serving Notice Period")</f>
        <v>Serving Notice Period</v>
      </c>
      <c r="AI32" s="4" t="str">
        <f>IFERROR(__xludf.DUMMYFUNCTION("""COMPUTED_VALUE"""),"Yes")</f>
        <v>Yes</v>
      </c>
      <c r="AJ32" s="4">
        <f>IFERROR(__xludf.DUMMYFUNCTION("""COMPUTED_VALUE"""),650000.0)</f>
        <v>650000</v>
      </c>
      <c r="AK32" s="7" t="str">
        <f>IFERROR(__xludf.DUMMYFUNCTION("""COMPUTED_VALUE"""),"View profile")</f>
        <v>View profile</v>
      </c>
    </row>
    <row r="33">
      <c r="A33" s="4" t="str">
        <f>IFERROR(__xludf.DUMMYFUNCTION("""COMPUTED_VALUE"""),"TREND MICRO L2 Engineer")</f>
        <v>TREND MICRO L2 Engineer</v>
      </c>
      <c r="B33" s="6">
        <f>IFERROR(__xludf.DUMMYFUNCTION("""COMPUTED_VALUE"""),46267.0)</f>
        <v>46267</v>
      </c>
      <c r="C33" s="4" t="str">
        <f>IFERROR(__xludf.DUMMYFUNCTION("""COMPUTED_VALUE"""),"Padmaja Jadhav")</f>
        <v>Padmaja Jadhav</v>
      </c>
      <c r="D33" s="4" t="str">
        <f>IFERROR(__xludf.DUMMYFUNCTION("""COMPUTED_VALUE"""),"pmjadhav2301@gmail.com")</f>
        <v>pmjadhav2301@gmail.com</v>
      </c>
      <c r="E33" s="4">
        <f>IFERROR(__xludf.DUMMYFUNCTION("""COMPUTED_VALUE"""),9.112365673E9)</f>
        <v>9112365673</v>
      </c>
      <c r="F33" s="4" t="str">
        <f>IFERROR(__xludf.DUMMYFUNCTION("""COMPUTED_VALUE"""),"Pune")</f>
        <v>Pune</v>
      </c>
      <c r="G33" s="4" t="str">
        <f>IFERROR(__xludf.DUMMYFUNCTION("""COMPUTED_VALUE"""),"Mumbai, Pune, Remote, Hyderabad, Noida, Ahmedabad, Kolkata, Chennai, Gurugram, Bengaluru")</f>
        <v>Mumbai, Pune, Remote, Hyderabad, Noida, Ahmedabad, Kolkata, Chennai, Gurugram, Bengaluru</v>
      </c>
      <c r="H33" s="4" t="str">
        <f>IFERROR(__xludf.DUMMYFUNCTION("""COMPUTED_VALUE"""),"3 Year(s) 7 Month(s)")</f>
        <v>3 Year(s) 7 Month(s)</v>
      </c>
      <c r="I33" s="4" t="str">
        <f>IFERROR(__xludf.DUMMYFUNCTION("""COMPUTED_VALUE"""),"Infosys Ltd")</f>
        <v>Infosys Ltd</v>
      </c>
      <c r="J33" s="4" t="str">
        <f>IFERROR(__xludf.DUMMYFUNCTION("""COMPUTED_VALUE"""),"Senior Systems Engineer")</f>
        <v>Senior Systems Engineer</v>
      </c>
      <c r="K33" s="4" t="str">
        <f>IFERROR(__xludf.DUMMYFUNCTION("""COMPUTED_VALUE"""),"Rs 4.20 Lakhs")</f>
        <v>Rs 4.20 Lakhs</v>
      </c>
      <c r="L33" s="4" t="str">
        <f>IFERROR(__xludf.DUMMYFUNCTION("""COMPUTED_VALUE"""),"1 Months")</f>
        <v>1 Months</v>
      </c>
      <c r="M33" s="4" t="str">
        <f>IFERROR(__xludf.DUMMYFUNCTION("""COMPUTED_VALUE"""),"Immediate joiner | Security analyst | 3+ years experience | Qradar | Microsoft Sentinel | Microsoft Defender | SIEM | SOAR | Azure | SOC | Incident response | SOC L1 / L2 | Security Monitoring | Security Incident Handling | KQL")</f>
        <v>Immediate joiner | Security analyst | 3+ years experience | Qradar | Microsoft Sentinel | Microsoft Defender | SIEM | SOAR | Azure | SOC | Incident response | SOC L1 / L2 | Security Monitoring | Security Incident Handling | KQL</v>
      </c>
      <c r="N33" s="4" t="str">
        <f>IFERROR(__xludf.DUMMYFUNCTION("""COMPUTED_VALUE"""),"B.Tech / B.E.")</f>
        <v>B.Tech / B.E.</v>
      </c>
      <c r="O33" s="4" t="str">
        <f>IFERROR(__xludf.DUMMYFUNCTION("""COMPUTED_VALUE"""),"Shivaji University, Kolhapur")</f>
        <v>Shivaji University, Kolhapur</v>
      </c>
      <c r="P33" s="4" t="str">
        <f>IFERROR(__xludf.DUMMYFUNCTION("""COMPUTED_VALUE"""),"NA")</f>
        <v>NA</v>
      </c>
      <c r="Q33" s="4" t="str">
        <f>IFERROR(__xludf.DUMMYFUNCTION("""COMPUTED_VALUE"""),"NA")</f>
        <v>NA</v>
      </c>
      <c r="R33" s="4" t="str">
        <f>IFERROR(__xludf.DUMMYFUNCTION("""COMPUTED_VALUE"""),"NA")</f>
        <v>NA</v>
      </c>
      <c r="S33" s="4" t="str">
        <f>IFERROR(__xludf.DUMMYFUNCTION("""COMPUTED_VALUE"""),"NA")</f>
        <v>NA</v>
      </c>
      <c r="T33" s="4" t="str">
        <f>IFERROR(__xludf.DUMMYFUNCTION("""COMPUTED_VALUE"""),"Female")</f>
        <v>Female</v>
      </c>
      <c r="U33" s="4" t="str">
        <f>IFERROR(__xludf.DUMMYFUNCTION("""COMPUTED_VALUE"""),"kolhapur")</f>
        <v>kolhapur</v>
      </c>
      <c r="V33" s="12">
        <f>IFERROR(__xludf.DUMMYFUNCTION("""COMPUTED_VALUE"""),36914.0)</f>
        <v>36914</v>
      </c>
      <c r="W33" s="4" t="str">
        <f>IFERROR(__xludf.DUMMYFUNCTION("""COMPUTED_VALUE"""),"Rejected")</f>
        <v>Rejected</v>
      </c>
      <c r="X33" s="4" t="str">
        <f>IFERROR(__xludf.DUMMYFUNCTION("""COMPUTED_VALUE"""),"Not Applicable - F")</f>
        <v>Not Applicable - F</v>
      </c>
      <c r="Y33" s="4" t="str">
        <f>IFERROR(__xludf.DUMMYFUNCTION("""COMPUTED_VALUE"""),"NA")</f>
        <v>NA</v>
      </c>
      <c r="Z33" s="4" t="str">
        <f>IFERROR(__xludf.DUMMYFUNCTION("""COMPUTED_VALUE"""),"NA")</f>
        <v>NA</v>
      </c>
      <c r="AA33" s="4" t="str">
        <f>IFERROR(__xludf.DUMMYFUNCTION("""COMPUTED_VALUE"""),"NA")</f>
        <v>NA</v>
      </c>
      <c r="AB33" s="4" t="str">
        <f>IFERROR(__xludf.DUMMYFUNCTION("""COMPUTED_VALUE"""),"NA")</f>
        <v>NA</v>
      </c>
      <c r="AC33" s="4" t="str">
        <f>IFERROR(__xludf.DUMMYFUNCTION("""COMPUTED_VALUE"""),"Threat hunting, Security monitoring, incident response")</f>
        <v>Threat hunting, Security monitoring, incident response</v>
      </c>
      <c r="AD33" s="4" t="str">
        <f>IFERROR(__xludf.DUMMYFUNCTION("""COMPUTED_VALUE"""),"NA")</f>
        <v>NA</v>
      </c>
      <c r="AE33" s="4" t="str">
        <f>IFERROR(__xludf.DUMMYFUNCTION("""COMPUTED_VALUE"""),"NA")</f>
        <v>NA</v>
      </c>
      <c r="AF33" s="4" t="str">
        <f>IFERROR(__xludf.DUMMYFUNCTION("""COMPUTED_VALUE"""),"NA")</f>
        <v>NA</v>
      </c>
      <c r="AG33" s="4">
        <f>IFERROR(__xludf.DUMMYFUNCTION("""COMPUTED_VALUE"""),1000000.0)</f>
        <v>1000000</v>
      </c>
      <c r="AH33" s="4" t="str">
        <f>IFERROR(__xludf.DUMMYFUNCTION("""COMPUTED_VALUE"""),"1 Month")</f>
        <v>1 Month</v>
      </c>
      <c r="AI33" s="4" t="str">
        <f>IFERROR(__xludf.DUMMYFUNCTION("""COMPUTED_VALUE"""),"Yes")</f>
        <v>Yes</v>
      </c>
      <c r="AJ33" s="4">
        <f>IFERROR(__xludf.DUMMYFUNCTION("""COMPUTED_VALUE"""),420000.0)</f>
        <v>420000</v>
      </c>
      <c r="AK33" s="7" t="str">
        <f>IFERROR(__xludf.DUMMYFUNCTION("""COMPUTED_VALUE"""),"View profile")</f>
        <v>View profile</v>
      </c>
    </row>
    <row r="34">
      <c r="A34" s="4" t="str">
        <f>IFERROR(__xludf.DUMMYFUNCTION("""COMPUTED_VALUE"""),"TREND MICRO L2 Engineer")</f>
        <v>TREND MICRO L2 Engineer</v>
      </c>
      <c r="B34" s="6">
        <f>IFERROR(__xludf.DUMMYFUNCTION("""COMPUTED_VALUE"""),46267.0)</f>
        <v>46267</v>
      </c>
      <c r="C34" s="4" t="str">
        <f>IFERROR(__xludf.DUMMYFUNCTION("""COMPUTED_VALUE"""),"Yashwant Shinde")</f>
        <v>Yashwant Shinde</v>
      </c>
      <c r="D34" s="4" t="str">
        <f>IFERROR(__xludf.DUMMYFUNCTION("""COMPUTED_VALUE"""),"yashshinde2149@gmail.com")</f>
        <v>yashshinde2149@gmail.com</v>
      </c>
      <c r="E34" s="4">
        <f>IFERROR(__xludf.DUMMYFUNCTION("""COMPUTED_VALUE"""),8.637716172E9)</f>
        <v>8637716172</v>
      </c>
      <c r="F34" s="4" t="str">
        <f>IFERROR(__xludf.DUMMYFUNCTION("""COMPUTED_VALUE"""),"Pune")</f>
        <v>Pune</v>
      </c>
      <c r="G34" s="4" t="str">
        <f>IFERROR(__xludf.DUMMYFUNCTION("""COMPUTED_VALUE"""),"Pune, Hyderabad, Bengaluru, Chennai, New Delhi, Kolkata, Ahmedabad, Mumbai, Gurugram, Noida")</f>
        <v>Pune, Hyderabad, Bengaluru, Chennai, New Delhi, Kolkata, Ahmedabad, Mumbai, Gurugram, Noida</v>
      </c>
      <c r="H34" s="4" t="str">
        <f>IFERROR(__xludf.DUMMYFUNCTION("""COMPUTED_VALUE"""),"2 Year(s) 8 Month(s)")</f>
        <v>2 Year(s) 8 Month(s)</v>
      </c>
      <c r="I34" s="4" t="str">
        <f>IFERROR(__xludf.DUMMYFUNCTION("""COMPUTED_VALUE"""),"Tata Consultancy Services(TCS)")</f>
        <v>Tata Consultancy Services(TCS)</v>
      </c>
      <c r="J34" s="4" t="str">
        <f>IFERROR(__xludf.DUMMYFUNCTION("""COMPUTED_VALUE"""),"SOC Analyst")</f>
        <v>SOC Analyst</v>
      </c>
      <c r="K34" s="4" t="str">
        <f>IFERROR(__xludf.DUMMYFUNCTION("""COMPUTED_VALUE"""),"Rs 4.05 Lakhs")</f>
        <v>Rs 4.05 Lakhs</v>
      </c>
      <c r="L34" s="4" t="str">
        <f>IFERROR(__xludf.DUMMYFUNCTION("""COMPUTED_VALUE"""),"3 Months")</f>
        <v>3 Months</v>
      </c>
      <c r="M34" s="4" t="str">
        <f>IFERROR(__xludf.DUMMYFUNCTION("""COMPUTED_VALUE"""),"SOC Analyst with experience in threat detection, alert triage, and incident investigation using SIEM and EDR tools. Skilled in validating security alerts, analyzing suspicious activity, and applying the MITRE ATT&amp;CK framework to improve security.")</f>
        <v>SOC Analyst with experience in threat detection, alert triage, and incident investigation using SIEM and EDR tools. Skilled in validating security alerts, analyzing suspicious activity, and applying the MITRE ATT&amp;CK framework to improve security.</v>
      </c>
      <c r="N34" s="4" t="str">
        <f>IFERROR(__xludf.DUMMYFUNCTION("""COMPUTED_VALUE"""),"B.Tech / B.E.")</f>
        <v>B.Tech / B.E.</v>
      </c>
      <c r="O34" s="4" t="str">
        <f>IFERROR(__xludf.DUMMYFUNCTION("""COMPUTED_VALUE"""),"Shri Guru Gobind Singhji Institute of Engineering and Technology (SGGSIET),Nanded")</f>
        <v>Shri Guru Gobind Singhji Institute of Engineering and Technology (SGGSIET),Nanded</v>
      </c>
      <c r="P34" s="4" t="str">
        <f>IFERROR(__xludf.DUMMYFUNCTION("""COMPUTED_VALUE"""),"NA")</f>
        <v>NA</v>
      </c>
      <c r="Q34" s="4" t="str">
        <f>IFERROR(__xludf.DUMMYFUNCTION("""COMPUTED_VALUE"""),"NA")</f>
        <v>NA</v>
      </c>
      <c r="R34" s="4" t="str">
        <f>IFERROR(__xludf.DUMMYFUNCTION("""COMPUTED_VALUE"""),"NA")</f>
        <v>NA</v>
      </c>
      <c r="S34" s="4" t="str">
        <f>IFERROR(__xludf.DUMMYFUNCTION("""COMPUTED_VALUE"""),"NA")</f>
        <v>NA</v>
      </c>
      <c r="T34" s="4" t="str">
        <f>IFERROR(__xludf.DUMMYFUNCTION("""COMPUTED_VALUE"""),"Male")</f>
        <v>Male</v>
      </c>
      <c r="U34" s="4" t="str">
        <f>IFERROR(__xludf.DUMMYFUNCTION("""COMPUTED_VALUE"""),"Ambajogai")</f>
        <v>Ambajogai</v>
      </c>
      <c r="V34" s="12">
        <f>IFERROR(__xludf.DUMMYFUNCTION("""COMPUTED_VALUE"""),36882.0)</f>
        <v>36882</v>
      </c>
      <c r="W34" s="4" t="str">
        <f>IFERROR(__xludf.DUMMYFUNCTION("""COMPUTED_VALUE"""),"NA")</f>
        <v>NA</v>
      </c>
      <c r="X34" s="4" t="str">
        <f>IFERROR(__xludf.DUMMYFUNCTION("""COMPUTED_VALUE"""),"TCS Employee")</f>
        <v>TCS Employee</v>
      </c>
      <c r="Y34" s="4" t="str">
        <f>IFERROR(__xludf.DUMMYFUNCTION("""COMPUTED_VALUE"""),"NA")</f>
        <v>NA</v>
      </c>
      <c r="Z34" s="4" t="str">
        <f>IFERROR(__xludf.DUMMYFUNCTION("""COMPUTED_VALUE"""),"NA")</f>
        <v>NA</v>
      </c>
      <c r="AA34" s="4" t="str">
        <f>IFERROR(__xludf.DUMMYFUNCTION("""COMPUTED_VALUE"""),"NA")</f>
        <v>NA</v>
      </c>
      <c r="AB34" s="4" t="str">
        <f>IFERROR(__xludf.DUMMYFUNCTION("""COMPUTED_VALUE"""),"NA")</f>
        <v>NA</v>
      </c>
      <c r="AC34" s="4" t="str">
        <f>IFERROR(__xludf.DUMMYFUNCTION("""COMPUTED_VALUE"""),"Splunk, ArcSight, Microsoft defender, Microsoft Azure, phishing analysis, malware analysis")</f>
        <v>Splunk, ArcSight, Microsoft defender, Microsoft Azure, phishing analysis, malware analysis</v>
      </c>
      <c r="AD34" s="4">
        <f>IFERROR(__xludf.DUMMYFUNCTION("""COMPUTED_VALUE"""),0.0)</f>
        <v>0</v>
      </c>
      <c r="AE34" s="4">
        <f>IFERROR(__xludf.DUMMYFUNCTION("""COMPUTED_VALUE"""),0.0)</f>
        <v>0</v>
      </c>
      <c r="AF34" s="4">
        <f>IFERROR(__xludf.DUMMYFUNCTION("""COMPUTED_VALUE"""),0.0)</f>
        <v>0</v>
      </c>
      <c r="AG34" s="4">
        <f>IFERROR(__xludf.DUMMYFUNCTION("""COMPUTED_VALUE"""),800000.0)</f>
        <v>800000</v>
      </c>
      <c r="AH34" s="4" t="str">
        <f>IFERROR(__xludf.DUMMYFUNCTION("""COMPUTED_VALUE"""),"3 Months")</f>
        <v>3 Months</v>
      </c>
      <c r="AI34" s="4" t="str">
        <f>IFERROR(__xludf.DUMMYFUNCTION("""COMPUTED_VALUE"""),"Yes")</f>
        <v>Yes</v>
      </c>
      <c r="AJ34" s="4">
        <f>IFERROR(__xludf.DUMMYFUNCTION("""COMPUTED_VALUE"""),405000.0)</f>
        <v>405000</v>
      </c>
      <c r="AK34" s="7" t="str">
        <f>IFERROR(__xludf.DUMMYFUNCTION("""COMPUTED_VALUE"""),"View profile")</f>
        <v>View profile</v>
      </c>
    </row>
    <row r="35">
      <c r="A35" s="4" t="str">
        <f>IFERROR(__xludf.DUMMYFUNCTION("""COMPUTED_VALUE"""),"TREND MICRO L2 Engineer")</f>
        <v>TREND MICRO L2 Engineer</v>
      </c>
      <c r="B35" s="6">
        <f>IFERROR(__xludf.DUMMYFUNCTION("""COMPUTED_VALUE"""),46267.0)</f>
        <v>46267</v>
      </c>
      <c r="C35" s="4" t="str">
        <f>IFERROR(__xludf.DUMMYFUNCTION("""COMPUTED_VALUE"""),"Sohail Shaikh")</f>
        <v>Sohail Shaikh</v>
      </c>
      <c r="D35" s="4" t="str">
        <f>IFERROR(__xludf.DUMMYFUNCTION("""COMPUTED_VALUE"""),"shaikh10sohail@gmail.com")</f>
        <v>shaikh10sohail@gmail.com</v>
      </c>
      <c r="E35" s="4" t="str">
        <f>IFERROR(__xludf.DUMMYFUNCTION("""COMPUTED_VALUE"""),"7066279657, +7066279657")</f>
        <v>7066279657, +7066279657</v>
      </c>
      <c r="F35" s="4" t="str">
        <f>IFERROR(__xludf.DUMMYFUNCTION("""COMPUTED_VALUE"""),"Pune")</f>
        <v>Pune</v>
      </c>
      <c r="G35" s="4" t="str">
        <f>IFERROR(__xludf.DUMMYFUNCTION("""COMPUTED_VALUE"""),"Gurugram, Mumbai (All Areas), Hyderabad, Noida, Delhi / NCR, Bengaluru, Mumbai, Pune")</f>
        <v>Gurugram, Mumbai (All Areas), Hyderabad, Noida, Delhi / NCR, Bengaluru, Mumbai, Pune</v>
      </c>
      <c r="H35" s="4" t="str">
        <f>IFERROR(__xludf.DUMMYFUNCTION("""COMPUTED_VALUE"""),"3 Year(s) 6 Month(s)")</f>
        <v>3 Year(s) 6 Month(s)</v>
      </c>
      <c r="I35" s="4" t="str">
        <f>IFERROR(__xludf.DUMMYFUNCTION("""COMPUTED_VALUE"""),"Concentrix")</f>
        <v>Concentrix</v>
      </c>
      <c r="J35" s="4" t="str">
        <f>IFERROR(__xludf.DUMMYFUNCTION("""COMPUTED_VALUE"""),"Technical Support Engineer")</f>
        <v>Technical Support Engineer</v>
      </c>
      <c r="K35" s="4" t="str">
        <f>IFERROR(__xludf.DUMMYFUNCTION("""COMPUTED_VALUE"""),"Rs 4.50 Lakhs")</f>
        <v>Rs 4.50 Lakhs</v>
      </c>
      <c r="L35" s="4" t="str">
        <f>IFERROR(__xludf.DUMMYFUNCTION("""COMPUTED_VALUE"""),"1 Months")</f>
        <v>1 Months</v>
      </c>
      <c r="M35" s="4" t="str">
        <f>IFERROR(__xludf.DUMMYFUNCTION("""COMPUTED_VALUE"""),"I am Post graduated from MCA and Python certified and learned DevOps tools like GitHub, Linux, Jenkins, Microsoft Azure and Docker.
 Technical Support Analyst | 3.8+ Years | Active Directory | Azure | Windows Administration | Infrastructure Support")</f>
        <v>I am Post graduated from MCA and Python certified and learned DevOps tools like GitHub, Linux, Jenkins, Microsoft Azure and Docker.
 Technical Support Analyst | 3.8+ Years | Active Directory | Azure | Windows Administration | Infrastructure Support</v>
      </c>
      <c r="N35" s="4" t="str">
        <f>IFERROR(__xludf.DUMMYFUNCTION("""COMPUTED_VALUE"""),"B.C.A.")</f>
        <v>B.C.A.</v>
      </c>
      <c r="O35" s="4" t="str">
        <f>IFERROR(__xludf.DUMMYFUNCTION("""COMPUTED_VALUE"""),"Abeda Inamdar Senior College, Pune")</f>
        <v>Abeda Inamdar Senior College, Pune</v>
      </c>
      <c r="P35" s="4" t="str">
        <f>IFERROR(__xludf.DUMMYFUNCTION("""COMPUTED_VALUE"""),"Computers")</f>
        <v>Computers</v>
      </c>
      <c r="Q35" s="4" t="str">
        <f>IFERROR(__xludf.DUMMYFUNCTION("""COMPUTED_VALUE"""),"Pune University")</f>
        <v>Pune University</v>
      </c>
      <c r="R35" s="4" t="str">
        <f>IFERROR(__xludf.DUMMYFUNCTION("""COMPUTED_VALUE"""),"NA")</f>
        <v>NA</v>
      </c>
      <c r="S35" s="4" t="str">
        <f>IFERROR(__xludf.DUMMYFUNCTION("""COMPUTED_VALUE"""),"NA")</f>
        <v>NA</v>
      </c>
      <c r="T35" s="4" t="str">
        <f>IFERROR(__xludf.DUMMYFUNCTION("""COMPUTED_VALUE"""),"Male")</f>
        <v>Male</v>
      </c>
      <c r="U35" s="4" t="str">
        <f>IFERROR(__xludf.DUMMYFUNCTION("""COMPUTED_VALUE"""),"Pune")</f>
        <v>Pune</v>
      </c>
      <c r="V35" s="16">
        <f>IFERROR(__xludf.DUMMYFUNCTION("""COMPUTED_VALUE"""),36301.0)</f>
        <v>36301</v>
      </c>
      <c r="W35" s="4" t="str">
        <f>IFERROR(__xludf.DUMMYFUNCTION("""COMPUTED_VALUE"""),"NA")</f>
        <v>NA</v>
      </c>
      <c r="X35" s="4" t="str">
        <f>IFERROR(__xludf.DUMMYFUNCTION("""COMPUTED_VALUE"""),"NA")</f>
        <v>NA</v>
      </c>
      <c r="Y35" s="4" t="str">
        <f>IFERROR(__xludf.DUMMYFUNCTION("""COMPUTED_VALUE"""),"NA")</f>
        <v>NA</v>
      </c>
      <c r="Z35" s="4" t="str">
        <f>IFERROR(__xludf.DUMMYFUNCTION("""COMPUTED_VALUE"""),"NA")</f>
        <v>NA</v>
      </c>
      <c r="AA35" s="4" t="str">
        <f>IFERROR(__xludf.DUMMYFUNCTION("""COMPUTED_VALUE"""),"NA")</f>
        <v>NA</v>
      </c>
      <c r="AB35" s="4" t="str">
        <f>IFERROR(__xludf.DUMMYFUNCTION("""COMPUTED_VALUE"""),"NA")</f>
        <v>NA</v>
      </c>
      <c r="AC35" s="4" t="str">
        <f>IFERROR(__xludf.DUMMYFUNCTION("""COMPUTED_VALUE"""),"Active Directorty &amp; Technical Support")</f>
        <v>Active Directorty &amp; Technical Support</v>
      </c>
      <c r="AD35" s="4" t="str">
        <f>IFERROR(__xludf.DUMMYFUNCTION("""COMPUTED_VALUE"""),"None")</f>
        <v>None</v>
      </c>
      <c r="AE35" s="4" t="str">
        <f>IFERROR(__xludf.DUMMYFUNCTION("""COMPUTED_VALUE"""),"None")</f>
        <v>None</v>
      </c>
      <c r="AF35" s="4">
        <f>IFERROR(__xludf.DUMMYFUNCTION("""COMPUTED_VALUE"""),4.0)</f>
        <v>4</v>
      </c>
      <c r="AG35" s="4">
        <f>IFERROR(__xludf.DUMMYFUNCTION("""COMPUTED_VALUE"""),465000.0)</f>
        <v>465000</v>
      </c>
      <c r="AH35" s="4" t="str">
        <f>IFERROR(__xludf.DUMMYFUNCTION("""COMPUTED_VALUE"""),"1 Month")</f>
        <v>1 Month</v>
      </c>
      <c r="AI35" s="4" t="str">
        <f>IFERROR(__xludf.DUMMYFUNCTION("""COMPUTED_VALUE"""),"Yes")</f>
        <v>Yes</v>
      </c>
      <c r="AJ35" s="4">
        <f>IFERROR(__xludf.DUMMYFUNCTION("""COMPUTED_VALUE"""),450000.0)</f>
        <v>450000</v>
      </c>
      <c r="AK35" s="7" t="str">
        <f>IFERROR(__xludf.DUMMYFUNCTION("""COMPUTED_VALUE"""),"View profile")</f>
        <v>View profile</v>
      </c>
    </row>
    <row r="36">
      <c r="A36" s="4" t="str">
        <f>IFERROR(__xludf.DUMMYFUNCTION("""COMPUTED_VALUE"""),"TREND MICRO L2 Engineer")</f>
        <v>TREND MICRO L2 Engineer</v>
      </c>
      <c r="B36" s="6">
        <f>IFERROR(__xludf.DUMMYFUNCTION("""COMPUTED_VALUE"""),46267.0)</f>
        <v>46267</v>
      </c>
      <c r="C36" s="4" t="str">
        <f>IFERROR(__xludf.DUMMYFUNCTION("""COMPUTED_VALUE"""),"Ajay Dipak Mohite")</f>
        <v>Ajay Dipak Mohite</v>
      </c>
      <c r="D36" s="4" t="str">
        <f>IFERROR(__xludf.DUMMYFUNCTION("""COMPUTED_VALUE"""),"ajaymohite48908@gmail.com")</f>
        <v>ajaymohite48908@gmail.com</v>
      </c>
      <c r="E36" s="4">
        <f>IFERROR(__xludf.DUMMYFUNCTION("""COMPUTED_VALUE"""),9.595288695E9)</f>
        <v>9595288695</v>
      </c>
      <c r="F36" s="4" t="str">
        <f>IFERROR(__xludf.DUMMYFUNCTION("""COMPUTED_VALUE"""),"Navi Mumbai")</f>
        <v>Navi Mumbai</v>
      </c>
      <c r="G36" s="4" t="str">
        <f>IFERROR(__xludf.DUMMYFUNCTION("""COMPUTED_VALUE"""),"Mumbai (All Areas), Navi Mumbai, Mumbai")</f>
        <v>Mumbai (All Areas), Navi Mumbai, Mumbai</v>
      </c>
      <c r="H36" s="4" t="str">
        <f>IFERROR(__xludf.DUMMYFUNCTION("""COMPUTED_VALUE"""),"3 Year(s) 5 Month(s)")</f>
        <v>3 Year(s) 5 Month(s)</v>
      </c>
      <c r="I36" s="4" t="str">
        <f>IFERROR(__xludf.DUMMYFUNCTION("""COMPUTED_VALUE"""),"HITACHI SYSTEMS INDIA PRIVATE LIMITED")</f>
        <v>HITACHI SYSTEMS INDIA PRIVATE LIMITED</v>
      </c>
      <c r="J36" s="4" t="str">
        <f>IFERROR(__xludf.DUMMYFUNCTION("""COMPUTED_VALUE"""),"Soc analyst,Endpoint Security Engineer, Cybersecurity Engineer")</f>
        <v>Soc analyst,Endpoint Security Engineer, Cybersecurity Engineer</v>
      </c>
      <c r="K36" s="4" t="str">
        <f>IFERROR(__xludf.DUMMYFUNCTION("""COMPUTED_VALUE"""),"Rs 5.50 Lakhs")</f>
        <v>Rs 5.50 Lakhs</v>
      </c>
      <c r="L36" s="4" t="str">
        <f>IFERROR(__xludf.DUMMYFUNCTION("""COMPUTED_VALUE"""),"15 Days or less")</f>
        <v>15 Days or less</v>
      </c>
      <c r="M36" s="4" t="str">
        <f>IFERROR(__xludf.DUMMYFUNCTION("""COMPUTED_VALUE"""),"Soc analyst,Antivirus Security Engineer | 3.5 Years Exp in Antivirus &amp; Endpoint Protection | Trellix | SentinelOne | EDR Specialist.")</f>
        <v>Soc analyst,Antivirus Security Engineer | 3.5 Years Exp in Antivirus &amp; Endpoint Protection | Trellix | SentinelOne | EDR Specialist.</v>
      </c>
      <c r="N36" s="7" t="str">
        <f>IFERROR(__xludf.DUMMYFUNCTION("""COMPUTED_VALUE"""),"B.Sc")</f>
        <v>B.Sc</v>
      </c>
      <c r="O36" s="4" t="str">
        <f>IFERROR(__xludf.DUMMYFUNCTION("""COMPUTED_VALUE"""),"Shivaji University, Maharashtra")</f>
        <v>Shivaji University, Maharashtra</v>
      </c>
      <c r="P36" s="4" t="str">
        <f>IFERROR(__xludf.DUMMYFUNCTION("""COMPUTED_VALUE"""),"Bio-Chemistry")</f>
        <v>Bio-Chemistry</v>
      </c>
      <c r="Q36" s="4" t="str">
        <f>IFERROR(__xludf.DUMMYFUNCTION("""COMPUTED_VALUE"""),"Shivaji University, Maharashtra")</f>
        <v>Shivaji University, Maharashtra</v>
      </c>
      <c r="R36" s="4" t="str">
        <f>IFERROR(__xludf.DUMMYFUNCTION("""COMPUTED_VALUE"""),"NA")</f>
        <v>NA</v>
      </c>
      <c r="S36" s="4" t="str">
        <f>IFERROR(__xludf.DUMMYFUNCTION("""COMPUTED_VALUE"""),"NA")</f>
        <v>NA</v>
      </c>
      <c r="T36" s="4" t="str">
        <f>IFERROR(__xludf.DUMMYFUNCTION("""COMPUTED_VALUE"""),"Male")</f>
        <v>Male</v>
      </c>
      <c r="U36" s="4" t="str">
        <f>IFERROR(__xludf.DUMMYFUNCTION("""COMPUTED_VALUE"""),"SANGLI")</f>
        <v>SANGLI</v>
      </c>
      <c r="V36" s="6">
        <f>IFERROR(__xludf.DUMMYFUNCTION("""COMPUTED_VALUE"""),36495.0)</f>
        <v>36495</v>
      </c>
      <c r="W36" s="4" t="str">
        <f>IFERROR(__xludf.DUMMYFUNCTION("""COMPUTED_VALUE"""),"Maybe")</f>
        <v>Maybe</v>
      </c>
      <c r="X36" s="4" t="str">
        <f>IFERROR(__xludf.DUMMYFUNCTION("""COMPUTED_VALUE"""),"NA")</f>
        <v>NA</v>
      </c>
      <c r="Y36" s="4" t="str">
        <f>IFERROR(__xludf.DUMMYFUNCTION("""COMPUTED_VALUE"""),"Profile shared with Vipul Sir on 3rd September via email")</f>
        <v>Profile shared with Vipul Sir on 3rd September via email</v>
      </c>
      <c r="Z36" s="4" t="str">
        <f>IFERROR(__xludf.DUMMYFUNCTION("""COMPUTED_VALUE"""),"NA")</f>
        <v>NA</v>
      </c>
      <c r="AA36" s="4" t="str">
        <f>IFERROR(__xludf.DUMMYFUNCTION("""COMPUTED_VALUE"""),"NA")</f>
        <v>NA</v>
      </c>
      <c r="AB36" s="4" t="str">
        <f>IFERROR(__xludf.DUMMYFUNCTION("""COMPUTED_VALUE"""),"NA")</f>
        <v>NA</v>
      </c>
      <c r="AC36" s="4" t="str">
        <f>IFERROR(__xludf.DUMMYFUNCTION("""COMPUTED_VALUE"""),"Incidence response, encryption Endpoint Security, server security")</f>
        <v>Incidence response, encryption Endpoint Security, server security</v>
      </c>
      <c r="AD36" s="4">
        <f>IFERROR(__xludf.DUMMYFUNCTION("""COMPUTED_VALUE"""),3.0)</f>
        <v>3</v>
      </c>
      <c r="AE36" s="4">
        <f>IFERROR(__xludf.DUMMYFUNCTION("""COMPUTED_VALUE"""),3.5)</f>
        <v>3.5</v>
      </c>
      <c r="AF36" s="4">
        <f>IFERROR(__xludf.DUMMYFUNCTION("""COMPUTED_VALUE"""),3.5)</f>
        <v>3.5</v>
      </c>
      <c r="AG36" s="4">
        <f>IFERROR(__xludf.DUMMYFUNCTION("""COMPUTED_VALUE"""),600000.0)</f>
        <v>600000</v>
      </c>
      <c r="AH36" s="4" t="str">
        <f>IFERROR(__xludf.DUMMYFUNCTION("""COMPUTED_VALUE"""),"15 Days or less")</f>
        <v>15 Days or less</v>
      </c>
      <c r="AI36" s="4" t="str">
        <f>IFERROR(__xludf.DUMMYFUNCTION("""COMPUTED_VALUE"""),"Yes")</f>
        <v>Yes</v>
      </c>
      <c r="AJ36" s="4">
        <f>IFERROR(__xludf.DUMMYFUNCTION("""COMPUTED_VALUE"""),550000.0)</f>
        <v>550000</v>
      </c>
      <c r="AK36" s="7" t="str">
        <f>IFERROR(__xludf.DUMMYFUNCTION("""COMPUTED_VALUE"""),"View profile")</f>
        <v>View profile</v>
      </c>
    </row>
    <row r="37">
      <c r="A37" s="4" t="str">
        <f>IFERROR(__xludf.DUMMYFUNCTION("""COMPUTED_VALUE"""),"TREND MICRO L2 Engineer")</f>
        <v>TREND MICRO L2 Engineer</v>
      </c>
      <c r="B37" s="6">
        <f>IFERROR(__xludf.DUMMYFUNCTION("""COMPUTED_VALUE"""),46267.0)</f>
        <v>46267</v>
      </c>
      <c r="C37" s="4" t="str">
        <f>IFERROR(__xludf.DUMMYFUNCTION("""COMPUTED_VALUE"""),"Kuladeep Makenayne Bestha")</f>
        <v>Kuladeep Makenayne Bestha</v>
      </c>
      <c r="D37" s="4" t="str">
        <f>IFERROR(__xludf.DUMMYFUNCTION("""COMPUTED_VALUE"""),"kuladeepmb@gmail.com")</f>
        <v>kuladeepmb@gmail.com</v>
      </c>
      <c r="E37" s="4">
        <f>IFERROR(__xludf.DUMMYFUNCTION("""COMPUTED_VALUE"""),9.440437768E9)</f>
        <v>9440437768</v>
      </c>
      <c r="F37" s="4" t="str">
        <f>IFERROR(__xludf.DUMMYFUNCTION("""COMPUTED_VALUE"""),"Bengaluru")</f>
        <v>Bengaluru</v>
      </c>
      <c r="G37" s="4" t="str">
        <f>IFERROR(__xludf.DUMMYFUNCTION("""COMPUTED_VALUE"""),"Bengaluru, Chennai, Ahmedabad, Delhi / NCR, Pune, Mumbai, Remote, Kolkata, Hyderabad, Gurugram")</f>
        <v>Bengaluru, Chennai, Ahmedabad, Delhi / NCR, Pune, Mumbai, Remote, Kolkata, Hyderabad, Gurugram</v>
      </c>
      <c r="H37" s="4" t="str">
        <f>IFERROR(__xludf.DUMMYFUNCTION("""COMPUTED_VALUE"""),"3 Year(s) 0 Month(s)")</f>
        <v>3 Year(s) 0 Month(s)</v>
      </c>
      <c r="I37" s="4" t="str">
        <f>IFERROR(__xludf.DUMMYFUNCTION("""COMPUTED_VALUE"""),"Tech Mahindra")</f>
        <v>Tech Mahindra</v>
      </c>
      <c r="J37" s="4" t="str">
        <f>IFERROR(__xludf.DUMMYFUNCTION("""COMPUTED_VALUE"""),"SOC Analyst")</f>
        <v>SOC Analyst</v>
      </c>
      <c r="K37" s="4" t="str">
        <f>IFERROR(__xludf.DUMMYFUNCTION("""COMPUTED_VALUE"""),"Rs 5.50 Lakhs")</f>
        <v>Rs 5.50 Lakhs</v>
      </c>
      <c r="L37" s="4" t="str">
        <f>IFERROR(__xludf.DUMMYFUNCTION("""COMPUTED_VALUE"""),"15 Days or less")</f>
        <v>15 Days or less</v>
      </c>
      <c r="M37" s="4" t="str">
        <f>IFERROR(__xludf.DUMMYFUNCTION("""COMPUTED_VALUE"""),"A dedicated cybersecurity professional with 3+ years of experience in SOC Monitoring, 
 Incident Response, and Information Security across various platforms. Seeking to contribute 
 my expertise in SOC operations, cybersecurity incident management.")</f>
        <v>A dedicated cybersecurity professional with 3+ years of experience in SOC Monitoring, 
 Incident Response, and Information Security across various platforms. Seeking to contribute 
 my expertise in SOC operations, cybersecurity incident management.</v>
      </c>
      <c r="N37" s="7" t="str">
        <f>IFERROR(__xludf.DUMMYFUNCTION("""COMPUTED_VALUE"""),"B.Sc")</f>
        <v>B.Sc</v>
      </c>
      <c r="O37" s="4" t="str">
        <f>IFERROR(__xludf.DUMMYFUNCTION("""COMPUTED_VALUE"""),"sriv")</f>
        <v>sriv</v>
      </c>
      <c r="P37" s="4" t="str">
        <f>IFERROR(__xludf.DUMMYFUNCTION("""COMPUTED_VALUE"""),"NA")</f>
        <v>NA</v>
      </c>
      <c r="Q37" s="4" t="str">
        <f>IFERROR(__xludf.DUMMYFUNCTION("""COMPUTED_VALUE"""),"NA")</f>
        <v>NA</v>
      </c>
      <c r="R37" s="4" t="str">
        <f>IFERROR(__xludf.DUMMYFUNCTION("""COMPUTED_VALUE"""),"NA")</f>
        <v>NA</v>
      </c>
      <c r="S37" s="4" t="str">
        <f>IFERROR(__xludf.DUMMYFUNCTION("""COMPUTED_VALUE"""),"NA")</f>
        <v>NA</v>
      </c>
      <c r="T37" s="4" t="str">
        <f>IFERROR(__xludf.DUMMYFUNCTION("""COMPUTED_VALUE"""),"Male")</f>
        <v>Male</v>
      </c>
      <c r="U37" s="4" t="str">
        <f>IFERROR(__xludf.DUMMYFUNCTION("""COMPUTED_VALUE"""),"NA")</f>
        <v>NA</v>
      </c>
      <c r="V37" s="12">
        <f>IFERROR(__xludf.DUMMYFUNCTION("""COMPUTED_VALUE"""),37091.0)</f>
        <v>37091</v>
      </c>
      <c r="W37" s="4" t="str">
        <f>IFERROR(__xludf.DUMMYFUNCTION("""COMPUTED_VALUE"""),"NA")</f>
        <v>NA</v>
      </c>
      <c r="X37" s="4" t="str">
        <f>IFERROR(__xludf.DUMMYFUNCTION("""COMPUTED_VALUE"""),"NA")</f>
        <v>NA</v>
      </c>
      <c r="Y37" s="4" t="str">
        <f>IFERROR(__xludf.DUMMYFUNCTION("""COMPUTED_VALUE"""),"NA")</f>
        <v>NA</v>
      </c>
      <c r="Z37" s="4" t="str">
        <f>IFERROR(__xludf.DUMMYFUNCTION("""COMPUTED_VALUE"""),"NA")</f>
        <v>NA</v>
      </c>
      <c r="AA37" s="4" t="str">
        <f>IFERROR(__xludf.DUMMYFUNCTION("""COMPUTED_VALUE"""),"NA")</f>
        <v>NA</v>
      </c>
      <c r="AB37" s="4" t="str">
        <f>IFERROR(__xludf.DUMMYFUNCTION("""COMPUTED_VALUE"""),"NA")</f>
        <v>NA</v>
      </c>
      <c r="AC37" s="4" t="str">
        <f>IFERROR(__xludf.DUMMYFUNCTION("""COMPUTED_VALUE"""),"Soc")</f>
        <v>Soc</v>
      </c>
      <c r="AD37" s="4">
        <f>IFERROR(__xludf.DUMMYFUNCTION("""COMPUTED_VALUE"""),3.0)</f>
        <v>3</v>
      </c>
      <c r="AE37" s="4">
        <f>IFERROR(__xludf.DUMMYFUNCTION("""COMPUTED_VALUE"""),3.0)</f>
        <v>3</v>
      </c>
      <c r="AF37" s="4">
        <f>IFERROR(__xludf.DUMMYFUNCTION("""COMPUTED_VALUE"""),3.0)</f>
        <v>3</v>
      </c>
      <c r="AG37" s="4">
        <f>IFERROR(__xludf.DUMMYFUNCTION("""COMPUTED_VALUE"""),700000.0)</f>
        <v>700000</v>
      </c>
      <c r="AH37" s="4" t="str">
        <f>IFERROR(__xludf.DUMMYFUNCTION("""COMPUTED_VALUE"""),"15 Days or less")</f>
        <v>15 Days or less</v>
      </c>
      <c r="AI37" s="4" t="str">
        <f>IFERROR(__xludf.DUMMYFUNCTION("""COMPUTED_VALUE"""),"Yes")</f>
        <v>Yes</v>
      </c>
      <c r="AJ37" s="4">
        <f>IFERROR(__xludf.DUMMYFUNCTION("""COMPUTED_VALUE"""),550000.0)</f>
        <v>550000</v>
      </c>
      <c r="AK37" s="7" t="str">
        <f>IFERROR(__xludf.DUMMYFUNCTION("""COMPUTED_VALUE"""),"View profile")</f>
        <v>View profile</v>
      </c>
    </row>
    <row r="38">
      <c r="A38" s="4" t="str">
        <f>IFERROR(__xludf.DUMMYFUNCTION("""COMPUTED_VALUE"""),"TREND MICRO L2 Engineer")</f>
        <v>TREND MICRO L2 Engineer</v>
      </c>
      <c r="B38" s="6">
        <f>IFERROR(__xludf.DUMMYFUNCTION("""COMPUTED_VALUE"""),46267.0)</f>
        <v>46267</v>
      </c>
      <c r="C38" s="4" t="str">
        <f>IFERROR(__xludf.DUMMYFUNCTION("""COMPUTED_VALUE"""),"Malluvalasa Rakesh")</f>
        <v>Malluvalasa Rakesh</v>
      </c>
      <c r="D38" s="4" t="str">
        <f>IFERROR(__xludf.DUMMYFUNCTION("""COMPUTED_VALUE"""),"rakeshmalluvalasa272@gmail.com")</f>
        <v>rakeshmalluvalasa272@gmail.com</v>
      </c>
      <c r="E38" s="4">
        <f>IFERROR(__xludf.DUMMYFUNCTION("""COMPUTED_VALUE"""),8.50077234E9)</f>
        <v>8500772340</v>
      </c>
      <c r="F38" s="4" t="str">
        <f>IFERROR(__xludf.DUMMYFUNCTION("""COMPUTED_VALUE"""),"Visakhapatnam")</f>
        <v>Visakhapatnam</v>
      </c>
      <c r="G38" s="4" t="str">
        <f>IFERROR(__xludf.DUMMYFUNCTION("""COMPUTED_VALUE"""),"Remote, Bengaluru, Mumbai, Pune, Chennai, Hyderabad, Gurugram, Noida, Ahmedabad, Delhi / NCR")</f>
        <v>Remote, Bengaluru, Mumbai, Pune, Chennai, Hyderabad, Gurugram, Noida, Ahmedabad, Delhi / NCR</v>
      </c>
      <c r="H38" s="4" t="str">
        <f>IFERROR(__xludf.DUMMYFUNCTION("""COMPUTED_VALUE"""),"2 Year(s) 6 Month(s)")</f>
        <v>2 Year(s) 6 Month(s)</v>
      </c>
      <c r="I38" s="4" t="str">
        <f>IFERROR(__xludf.DUMMYFUNCTION("""COMPUTED_VALUE"""),"Yalamanchili Solutions For Payment Pvt Ltd (FinTech)")</f>
        <v>Yalamanchili Solutions For Payment Pvt Ltd (FinTech)</v>
      </c>
      <c r="J38" s="4" t="str">
        <f>IFERROR(__xludf.DUMMYFUNCTION("""COMPUTED_VALUE"""),"Information Security Analyst")</f>
        <v>Information Security Analyst</v>
      </c>
      <c r="K38" s="4" t="str">
        <f>IFERROR(__xludf.DUMMYFUNCTION("""COMPUTED_VALUE"""),"Rs 0 Lakhs")</f>
        <v>Rs 0 Lakhs</v>
      </c>
      <c r="L38" s="4" t="str">
        <f>IFERROR(__xludf.DUMMYFUNCTION("""COMPUTED_VALUE"""),"1 Months")</f>
        <v>1 Months</v>
      </c>
      <c r="M38" s="4" t="str">
        <f>IFERROR(__xludf.DUMMYFUNCTION("""COMPUTED_VALUE"""),"Cybersecurity professional skilled in SOC, EDR, SIEM, DLP, IAM, Cloud Security, VAPT, Threat Hunting, Incident Response, Malware Analysis, Vulnerability Management, CIS Hardening, and Security Automation")</f>
        <v>Cybersecurity professional skilled in SOC, EDR, SIEM, DLP, IAM, Cloud Security, VAPT, Threat Hunting, Incident Response, Malware Analysis, Vulnerability Management, CIS Hardening, and Security Automation</v>
      </c>
      <c r="N38" s="7" t="str">
        <f>IFERROR(__xludf.DUMMYFUNCTION("""COMPUTED_VALUE"""),"B.Sc")</f>
        <v>B.Sc</v>
      </c>
      <c r="O38" s="4" t="str">
        <f>IFERROR(__xludf.DUMMYFUNCTION("""COMPUTED_VALUE"""),"Mrs AVN Degree College, Visakhapatnam")</f>
        <v>Mrs AVN Degree College, Visakhapatnam</v>
      </c>
      <c r="P38" s="4" t="str">
        <f>IFERROR(__xludf.DUMMYFUNCTION("""COMPUTED_VALUE"""),"NA")</f>
        <v>NA</v>
      </c>
      <c r="Q38" s="4" t="str">
        <f>IFERROR(__xludf.DUMMYFUNCTION("""COMPUTED_VALUE"""),"NA")</f>
        <v>NA</v>
      </c>
      <c r="R38" s="4" t="str">
        <f>IFERROR(__xludf.DUMMYFUNCTION("""COMPUTED_VALUE"""),"NA")</f>
        <v>NA</v>
      </c>
      <c r="S38" s="4" t="str">
        <f>IFERROR(__xludf.DUMMYFUNCTION("""COMPUTED_VALUE"""),"NA")</f>
        <v>NA</v>
      </c>
      <c r="T38" s="4" t="str">
        <f>IFERROR(__xludf.DUMMYFUNCTION("""COMPUTED_VALUE"""),"Male")</f>
        <v>Male</v>
      </c>
      <c r="U38" s="4" t="str">
        <f>IFERROR(__xludf.DUMMYFUNCTION("""COMPUTED_VALUE"""),"Vishakapatnam")</f>
        <v>Vishakapatnam</v>
      </c>
      <c r="V38" s="12">
        <f>IFERROR(__xludf.DUMMYFUNCTION("""COMPUTED_VALUE"""),37728.0)</f>
        <v>37728</v>
      </c>
      <c r="W38" s="4" t="str">
        <f>IFERROR(__xludf.DUMMYFUNCTION("""COMPUTED_VALUE"""),"NA")</f>
        <v>NA</v>
      </c>
      <c r="X38" s="4" t="str">
        <f>IFERROR(__xludf.DUMMYFUNCTION("""COMPUTED_VALUE"""),"NA")</f>
        <v>NA</v>
      </c>
      <c r="Y38" s="4" t="str">
        <f>IFERROR(__xludf.DUMMYFUNCTION("""COMPUTED_VALUE"""),"NA")</f>
        <v>NA</v>
      </c>
      <c r="Z38" s="4" t="str">
        <f>IFERROR(__xludf.DUMMYFUNCTION("""COMPUTED_VALUE"""),"NA")</f>
        <v>NA</v>
      </c>
      <c r="AA38" s="4" t="str">
        <f>IFERROR(__xludf.DUMMYFUNCTION("""COMPUTED_VALUE"""),"NA")</f>
        <v>NA</v>
      </c>
      <c r="AB38" s="4" t="str">
        <f>IFERROR(__xludf.DUMMYFUNCTION("""COMPUTED_VALUE"""),"NA")</f>
        <v>NA</v>
      </c>
      <c r="AC38" s="4" t="str">
        <f>IFERROR(__xludf.DUMMYFUNCTION("""COMPUTED_VALUE"""),"EDR, Threat Intelligence,Endpoint security, Vulnerability Management,")</f>
        <v>EDR, Threat Intelligence,Endpoint security, Vulnerability Management,</v>
      </c>
      <c r="AD38" s="4" t="str">
        <f>IFERROR(__xludf.DUMMYFUNCTION("""COMPUTED_VALUE"""),"ni")</f>
        <v>ni</v>
      </c>
      <c r="AE38" s="4" t="str">
        <f>IFERROR(__xludf.DUMMYFUNCTION("""COMPUTED_VALUE"""),"no")</f>
        <v>no</v>
      </c>
      <c r="AF38" s="4" t="str">
        <f>IFERROR(__xludf.DUMMYFUNCTION("""COMPUTED_VALUE"""),"no")</f>
        <v>no</v>
      </c>
      <c r="AG38" s="4">
        <f>IFERROR(__xludf.DUMMYFUNCTION("""COMPUTED_VALUE"""),700000.0)</f>
        <v>700000</v>
      </c>
      <c r="AH38" s="4" t="str">
        <f>IFERROR(__xludf.DUMMYFUNCTION("""COMPUTED_VALUE"""),"1 Month")</f>
        <v>1 Month</v>
      </c>
      <c r="AI38" s="4" t="str">
        <f>IFERROR(__xludf.DUMMYFUNCTION("""COMPUTED_VALUE"""),"Yes")</f>
        <v>Yes</v>
      </c>
      <c r="AJ38" s="4">
        <f>IFERROR(__xludf.DUMMYFUNCTION("""COMPUTED_VALUE"""),1.0)</f>
        <v>1</v>
      </c>
      <c r="AK38" s="7" t="str">
        <f>IFERROR(__xludf.DUMMYFUNCTION("""COMPUTED_VALUE"""),"View profile")</f>
        <v>View profile</v>
      </c>
    </row>
    <row r="39">
      <c r="A39" s="4" t="str">
        <f>IFERROR(__xludf.DUMMYFUNCTION("""COMPUTED_VALUE"""),"TREND MICRO L2 Engineer")</f>
        <v>TREND MICRO L2 Engineer</v>
      </c>
      <c r="B39" s="6">
        <f>IFERROR(__xludf.DUMMYFUNCTION("""COMPUTED_VALUE"""),46267.0)</f>
        <v>46267</v>
      </c>
      <c r="C39" s="4" t="str">
        <f>IFERROR(__xludf.DUMMYFUNCTION("""COMPUTED_VALUE"""),"Rishab")</f>
        <v>Rishab</v>
      </c>
      <c r="D39" s="4" t="str">
        <f>IFERROR(__xludf.DUMMYFUNCTION("""COMPUTED_VALUE"""),"rishavraj11606121@gmail.com")</f>
        <v>rishavraj11606121@gmail.com</v>
      </c>
      <c r="E39" s="4">
        <f>IFERROR(__xludf.DUMMYFUNCTION("""COMPUTED_VALUE"""),7.973732501E9)</f>
        <v>7973732501</v>
      </c>
      <c r="F39" s="4" t="str">
        <f>IFERROR(__xludf.DUMMYFUNCTION("""COMPUTED_VALUE"""),"Bengaluru")</f>
        <v>Bengaluru</v>
      </c>
      <c r="G39" s="4" t="str">
        <f>IFERROR(__xludf.DUMMYFUNCTION("""COMPUTED_VALUE"""),"Chandigarh, Pune, Ahmedabad, Remote, Delhi / NCR, Kolkata, Noida, Gurugram, Bengaluru, Mumbai")</f>
        <v>Chandigarh, Pune, Ahmedabad, Remote, Delhi / NCR, Kolkata, Noida, Gurugram, Bengaluru, Mumbai</v>
      </c>
      <c r="H39" s="4" t="str">
        <f>IFERROR(__xludf.DUMMYFUNCTION("""COMPUTED_VALUE"""),"3 Year(s) 0 Month(s)")</f>
        <v>3 Year(s) 0 Month(s)</v>
      </c>
      <c r="I39" s="4" t="str">
        <f>IFERROR(__xludf.DUMMYFUNCTION("""COMPUTED_VALUE"""),"CubeLogic Software private Limited")</f>
        <v>CubeLogic Software private Limited</v>
      </c>
      <c r="J39" s="4" t="str">
        <f>IFERROR(__xludf.DUMMYFUNCTION("""COMPUTED_VALUE"""),"SOC Analyst 1")</f>
        <v>SOC Analyst 1</v>
      </c>
      <c r="K39" s="4" t="str">
        <f>IFERROR(__xludf.DUMMYFUNCTION("""COMPUTED_VALUE"""),"Rs 6 Lakhs")</f>
        <v>Rs 6 Lakhs</v>
      </c>
      <c r="L39" s="4" t="str">
        <f>IFERROR(__xludf.DUMMYFUNCTION("""COMPUTED_VALUE"""),"15 Days or less")</f>
        <v>15 Days or less</v>
      </c>
      <c r="M39" s="4" t="str">
        <f>IFERROR(__xludf.DUMMYFUNCTION("""COMPUTED_VALUE"""),"Soc Analyst with B.Tech/B.E. - Bachelor of Technology / Engineering in Mechanical Engineering skilled in Networking Protocols, Active Directory, Technical Analysis, Service Desk, Group Policy")</f>
        <v>Soc Analyst with B.Tech/B.E. - Bachelor of Technology / Engineering in Mechanical Engineering skilled in Networking Protocols, Active Directory, Technical Analysis, Service Desk, Group Policy</v>
      </c>
      <c r="N39" s="4" t="str">
        <f>IFERROR(__xludf.DUMMYFUNCTION("""COMPUTED_VALUE"""),"B.Tech / B.E.")</f>
        <v>B.Tech / B.E.</v>
      </c>
      <c r="O39" s="4" t="str">
        <f>IFERROR(__xludf.DUMMYFUNCTION("""COMPUTED_VALUE"""),"Lovely Professional University, Jalandhar")</f>
        <v>Lovely Professional University, Jalandhar</v>
      </c>
      <c r="P39" s="4" t="str">
        <f>IFERROR(__xludf.DUMMYFUNCTION("""COMPUTED_VALUE"""),"NA")</f>
        <v>NA</v>
      </c>
      <c r="Q39" s="4" t="str">
        <f>IFERROR(__xludf.DUMMYFUNCTION("""COMPUTED_VALUE"""),"NA")</f>
        <v>NA</v>
      </c>
      <c r="R39" s="4" t="str">
        <f>IFERROR(__xludf.DUMMYFUNCTION("""COMPUTED_VALUE"""),"NA")</f>
        <v>NA</v>
      </c>
      <c r="S39" s="4" t="str">
        <f>IFERROR(__xludf.DUMMYFUNCTION("""COMPUTED_VALUE"""),"NA")</f>
        <v>NA</v>
      </c>
      <c r="T39" s="4" t="str">
        <f>IFERROR(__xludf.DUMMYFUNCTION("""COMPUTED_VALUE"""),"Male")</f>
        <v>Male</v>
      </c>
      <c r="U39" s="4" t="str">
        <f>IFERROR(__xludf.DUMMYFUNCTION("""COMPUTED_VALUE"""),"Patna")</f>
        <v>Patna</v>
      </c>
      <c r="V39" s="12">
        <f>IFERROR(__xludf.DUMMYFUNCTION("""COMPUTED_VALUE"""),36980.0)</f>
        <v>36980</v>
      </c>
      <c r="W39" s="4" t="str">
        <f>IFERROR(__xludf.DUMMYFUNCTION("""COMPUTED_VALUE"""),"NA")</f>
        <v>NA</v>
      </c>
      <c r="X39" s="4" t="str">
        <f>IFERROR(__xludf.DUMMYFUNCTION("""COMPUTED_VALUE"""),"NA")</f>
        <v>NA</v>
      </c>
      <c r="Y39" s="4" t="str">
        <f>IFERROR(__xludf.DUMMYFUNCTION("""COMPUTED_VALUE"""),"NA")</f>
        <v>NA</v>
      </c>
      <c r="Z39" s="4" t="str">
        <f>IFERROR(__xludf.DUMMYFUNCTION("""COMPUTED_VALUE"""),"NA")</f>
        <v>NA</v>
      </c>
      <c r="AA39" s="4" t="str">
        <f>IFERROR(__xludf.DUMMYFUNCTION("""COMPUTED_VALUE"""),"NA")</f>
        <v>NA</v>
      </c>
      <c r="AB39" s="4" t="str">
        <f>IFERROR(__xludf.DUMMYFUNCTION("""COMPUTED_VALUE"""),"NA")</f>
        <v>NA</v>
      </c>
      <c r="AC39" s="4" t="str">
        <f>IFERROR(__xludf.DUMMYFUNCTION("""COMPUTED_VALUE"""),"Mitre attack framework, incident analysis and response")</f>
        <v>Mitre attack framework, incident analysis and response</v>
      </c>
      <c r="AD39" s="4">
        <f>IFERROR(__xludf.DUMMYFUNCTION("""COMPUTED_VALUE"""),3.0)</f>
        <v>3</v>
      </c>
      <c r="AE39" s="4">
        <f>IFERROR(__xludf.DUMMYFUNCTION("""COMPUTED_VALUE"""),3.0)</f>
        <v>3</v>
      </c>
      <c r="AF39" s="4">
        <f>IFERROR(__xludf.DUMMYFUNCTION("""COMPUTED_VALUE"""),3.0)</f>
        <v>3</v>
      </c>
      <c r="AG39" s="4">
        <f>IFERROR(__xludf.DUMMYFUNCTION("""COMPUTED_VALUE"""),900000.0)</f>
        <v>900000</v>
      </c>
      <c r="AH39" s="4" t="str">
        <f>IFERROR(__xludf.DUMMYFUNCTION("""COMPUTED_VALUE"""),"15 Days or less")</f>
        <v>15 Days or less</v>
      </c>
      <c r="AI39" s="4" t="str">
        <f>IFERROR(__xludf.DUMMYFUNCTION("""COMPUTED_VALUE"""),"Yes")</f>
        <v>Yes</v>
      </c>
      <c r="AJ39" s="4">
        <f>IFERROR(__xludf.DUMMYFUNCTION("""COMPUTED_VALUE"""),600000.0)</f>
        <v>600000</v>
      </c>
      <c r="AK39" s="7" t="str">
        <f>IFERROR(__xludf.DUMMYFUNCTION("""COMPUTED_VALUE"""),"View profile")</f>
        <v>View profile</v>
      </c>
    </row>
    <row r="40">
      <c r="A40" s="4" t="str">
        <f>IFERROR(__xludf.DUMMYFUNCTION("""COMPUTED_VALUE"""),"TREND MICRO L2 Engineer")</f>
        <v>TREND MICRO L2 Engineer</v>
      </c>
      <c r="B40" s="6">
        <f>IFERROR(__xludf.DUMMYFUNCTION("""COMPUTED_VALUE"""),46267.0)</f>
        <v>46267</v>
      </c>
      <c r="C40" s="4" t="str">
        <f>IFERROR(__xludf.DUMMYFUNCTION("""COMPUTED_VALUE"""),"Naveen Chilakapati")</f>
        <v>Naveen Chilakapati</v>
      </c>
      <c r="D40" s="4" t="str">
        <f>IFERROR(__xludf.DUMMYFUNCTION("""COMPUTED_VALUE"""),"chilakapatinaveen86@gmail.com")</f>
        <v>chilakapatinaveen86@gmail.com</v>
      </c>
      <c r="E40" s="4">
        <f>IFERROR(__xludf.DUMMYFUNCTION("""COMPUTED_VALUE"""),8.712124213E9)</f>
        <v>8712124213</v>
      </c>
      <c r="F40" s="4" t="str">
        <f>IFERROR(__xludf.DUMMYFUNCTION("""COMPUTED_VALUE"""),"Mumbai")</f>
        <v>Mumbai</v>
      </c>
      <c r="G40" s="4" t="str">
        <f>IFERROR(__xludf.DUMMYFUNCTION("""COMPUTED_VALUE"""),"Hyderabad, Bengaluru, Remote, Chennai")</f>
        <v>Hyderabad, Bengaluru, Remote, Chennai</v>
      </c>
      <c r="H40" s="4" t="str">
        <f>IFERROR(__xludf.DUMMYFUNCTION("""COMPUTED_VALUE"""),"2 Year(s) 11 Month(s)")</f>
        <v>2 Year(s) 11 Month(s)</v>
      </c>
      <c r="I40" s="4" t="str">
        <f>IFERROR(__xludf.DUMMYFUNCTION("""COMPUTED_VALUE"""),"Tata Consultancy Services")</f>
        <v>Tata Consultancy Services</v>
      </c>
      <c r="J40" s="4" t="str">
        <f>IFERROR(__xludf.DUMMYFUNCTION("""COMPUTED_VALUE"""),"Security Analyst")</f>
        <v>Security Analyst</v>
      </c>
      <c r="K40" s="4" t="str">
        <f>IFERROR(__xludf.DUMMYFUNCTION("""COMPUTED_VALUE"""),"Rs 5.10 Lakhs")</f>
        <v>Rs 5.10 Lakhs</v>
      </c>
      <c r="L40" s="4" t="str">
        <f>IFERROR(__xludf.DUMMYFUNCTION("""COMPUTED_VALUE"""),"15 Days or less")</f>
        <v>15 Days or less</v>
      </c>
      <c r="M40" s="4" t="str">
        <f>IFERROR(__xludf.DUMMYFUNCTION("""COMPUTED_VALUE"""),"Security Analyst with overall 2.11 years of experience in security operations including Incident management, Endpoint security and logs analysis through SIEM.")</f>
        <v>Security Analyst with overall 2.11 years of experience in security operations including Incident management, Endpoint security and logs analysis through SIEM.</v>
      </c>
      <c r="N40" s="7" t="str">
        <f>IFERROR(__xludf.DUMMYFUNCTION("""COMPUTED_VALUE"""),"B.Sc")</f>
        <v>B.Sc</v>
      </c>
      <c r="O40" s="4" t="str">
        <f>IFERROR(__xludf.DUMMYFUNCTION("""COMPUTED_VALUE"""),"Sri MSR Degree College for Women, Kavali")</f>
        <v>Sri MSR Degree College for Women, Kavali</v>
      </c>
      <c r="P40" s="4" t="str">
        <f>IFERROR(__xludf.DUMMYFUNCTION("""COMPUTED_VALUE"""),"NA")</f>
        <v>NA</v>
      </c>
      <c r="Q40" s="4" t="str">
        <f>IFERROR(__xludf.DUMMYFUNCTION("""COMPUTED_VALUE"""),"NA")</f>
        <v>NA</v>
      </c>
      <c r="R40" s="4" t="str">
        <f>IFERROR(__xludf.DUMMYFUNCTION("""COMPUTED_VALUE"""),"NA")</f>
        <v>NA</v>
      </c>
      <c r="S40" s="4" t="str">
        <f>IFERROR(__xludf.DUMMYFUNCTION("""COMPUTED_VALUE"""),"NA")</f>
        <v>NA</v>
      </c>
      <c r="T40" s="4" t="str">
        <f>IFERROR(__xludf.DUMMYFUNCTION("""COMPUTED_VALUE"""),"Male")</f>
        <v>Male</v>
      </c>
      <c r="U40" s="4" t="str">
        <f>IFERROR(__xludf.DUMMYFUNCTION("""COMPUTED_VALUE"""),"NA")</f>
        <v>NA</v>
      </c>
      <c r="V40" s="12">
        <f>IFERROR(__xludf.DUMMYFUNCTION("""COMPUTED_VALUE"""),37002.0)</f>
        <v>37002</v>
      </c>
      <c r="W40" s="4" t="str">
        <f>IFERROR(__xludf.DUMMYFUNCTION("""COMPUTED_VALUE"""),"NA")</f>
        <v>NA</v>
      </c>
      <c r="X40" s="4" t="str">
        <f>IFERROR(__xludf.DUMMYFUNCTION("""COMPUTED_VALUE"""),"TCS Employee")</f>
        <v>TCS Employee</v>
      </c>
      <c r="Y40" s="4" t="str">
        <f>IFERROR(__xludf.DUMMYFUNCTION("""COMPUTED_VALUE"""),"NA")</f>
        <v>NA</v>
      </c>
      <c r="Z40" s="4" t="str">
        <f>IFERROR(__xludf.DUMMYFUNCTION("""COMPUTED_VALUE"""),"NA")</f>
        <v>NA</v>
      </c>
      <c r="AA40" s="4" t="str">
        <f>IFERROR(__xludf.DUMMYFUNCTION("""COMPUTED_VALUE"""),"NA")</f>
        <v>NA</v>
      </c>
      <c r="AB40" s="4" t="str">
        <f>IFERROR(__xludf.DUMMYFUNCTION("""COMPUTED_VALUE"""),"NA")</f>
        <v>NA</v>
      </c>
      <c r="AC40" s="4" t="str">
        <f>IFERROR(__xludf.DUMMYFUNCTION("""COMPUTED_VALUE"""),"SIEM,SOC")</f>
        <v>SIEM,SOC</v>
      </c>
      <c r="AD40" s="4">
        <f>IFERROR(__xludf.DUMMYFUNCTION("""COMPUTED_VALUE"""),3.0)</f>
        <v>3</v>
      </c>
      <c r="AE40" s="4">
        <f>IFERROR(__xludf.DUMMYFUNCTION("""COMPUTED_VALUE"""),3.0)</f>
        <v>3</v>
      </c>
      <c r="AF40" s="4">
        <f>IFERROR(__xludf.DUMMYFUNCTION("""COMPUTED_VALUE"""),3.0)</f>
        <v>3</v>
      </c>
      <c r="AG40" s="4">
        <f>IFERROR(__xludf.DUMMYFUNCTION("""COMPUTED_VALUE"""),750000.0)</f>
        <v>750000</v>
      </c>
      <c r="AH40" s="4" t="str">
        <f>IFERROR(__xludf.DUMMYFUNCTION("""COMPUTED_VALUE"""),"15 Days or less")</f>
        <v>15 Days or less</v>
      </c>
      <c r="AI40" s="4" t="str">
        <f>IFERROR(__xludf.DUMMYFUNCTION("""COMPUTED_VALUE"""),"Yes")</f>
        <v>Yes</v>
      </c>
      <c r="AJ40" s="4">
        <f>IFERROR(__xludf.DUMMYFUNCTION("""COMPUTED_VALUE"""),510000.0)</f>
        <v>510000</v>
      </c>
      <c r="AK40" s="7" t="str">
        <f>IFERROR(__xludf.DUMMYFUNCTION("""COMPUTED_VALUE"""),"View profile")</f>
        <v>View profile</v>
      </c>
    </row>
  </sheetData>
  <hyperlinks>
    <hyperlink r:id="rId1" ref="N2"/>
    <hyperlink r:id="rId2" ref="AK2"/>
    <hyperlink r:id="rId3" ref="AK3"/>
    <hyperlink r:id="rId4" ref="AK4"/>
    <hyperlink r:id="rId5" ref="AK5"/>
    <hyperlink r:id="rId6" ref="AK6"/>
    <hyperlink r:id="rId7" ref="N7"/>
    <hyperlink r:id="rId8" ref="AK7"/>
    <hyperlink r:id="rId9" ref="AK8"/>
    <hyperlink r:id="rId10" ref="N9"/>
    <hyperlink r:id="rId11" ref="AK9"/>
    <hyperlink r:id="rId12" ref="N10"/>
    <hyperlink r:id="rId13" ref="AK10"/>
    <hyperlink r:id="rId14" ref="AK11"/>
    <hyperlink r:id="rId15" ref="AK12"/>
    <hyperlink r:id="rId16" ref="AK13"/>
    <hyperlink r:id="rId17" ref="N14"/>
    <hyperlink r:id="rId18" ref="AK14"/>
    <hyperlink r:id="rId19" ref="N15"/>
    <hyperlink r:id="rId20" ref="AK15"/>
    <hyperlink r:id="rId21" ref="AK16"/>
    <hyperlink r:id="rId22" ref="N17"/>
    <hyperlink r:id="rId23" ref="AK17"/>
    <hyperlink r:id="rId24" ref="N18"/>
    <hyperlink r:id="rId25" ref="AK18"/>
    <hyperlink r:id="rId26" ref="AK19"/>
    <hyperlink r:id="rId27" ref="N20"/>
    <hyperlink r:id="rId28" ref="AK20"/>
    <hyperlink r:id="rId29" ref="AK21"/>
    <hyperlink r:id="rId30" ref="AK22"/>
    <hyperlink r:id="rId31" ref="N23"/>
    <hyperlink r:id="rId32" ref="AK23"/>
    <hyperlink r:id="rId33" ref="AK24"/>
    <hyperlink r:id="rId34" ref="AK25"/>
    <hyperlink r:id="rId35" ref="AK26"/>
    <hyperlink r:id="rId36" ref="AK27"/>
    <hyperlink r:id="rId37" ref="AK28"/>
    <hyperlink r:id="rId38" ref="N29"/>
    <hyperlink r:id="rId39" ref="AK29"/>
    <hyperlink r:id="rId40" ref="AK30"/>
    <hyperlink r:id="rId41" ref="I31"/>
    <hyperlink r:id="rId42" ref="AK31"/>
    <hyperlink r:id="rId43" ref="I32"/>
    <hyperlink r:id="rId44" ref="AK32"/>
    <hyperlink r:id="rId45" ref="AK33"/>
    <hyperlink r:id="rId46" ref="AK34"/>
    <hyperlink r:id="rId47" ref="AK35"/>
    <hyperlink r:id="rId48" ref="N36"/>
    <hyperlink r:id="rId49" ref="AK36"/>
    <hyperlink r:id="rId50" ref="N37"/>
    <hyperlink r:id="rId51" ref="AK37"/>
    <hyperlink r:id="rId52" ref="N38"/>
    <hyperlink r:id="rId53" ref="AK38"/>
    <hyperlink r:id="rId54" ref="AK39"/>
    <hyperlink r:id="rId55" ref="N40"/>
    <hyperlink r:id="rId56" ref="AK40"/>
  </hyperlinks>
  <drawing r:id="rId57"/>
</worksheet>
</file>